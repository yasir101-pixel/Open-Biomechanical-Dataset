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Yasir Agent\Dataset Paper\"/>
    </mc:Choice>
  </mc:AlternateContent>
  <xr:revisionPtr revIDLastSave="0" documentId="13_ncr:1_{FE71DC30-921C-4BE9-AD7E-0280DC8BBA1D}" xr6:coauthVersionLast="47" xr6:coauthVersionMax="47" xr10:uidLastSave="{00000000-0000-0000-0000-000000000000}"/>
  <bookViews>
    <workbookView xWindow="34500" yWindow="2865" windowWidth="21600" windowHeight="11385" firstSheet="10" activeTab="11" xr2:uid="{00000000-000D-0000-FFFF-FFFF00000000}"/>
  </bookViews>
  <sheets>
    <sheet name="Final Included all datasets" sheetId="1" r:id="rId1"/>
    <sheet name="Summary" sheetId="2" r:id="rId2"/>
    <sheet name="Results after removing duplicat" sheetId="3" r:id="rId3"/>
    <sheet name="Categorization by Activity" sheetId="4" r:id="rId4"/>
    <sheet name="Quality Assessment Score" sheetId="5" r:id="rId5"/>
    <sheet name="Sensing Modality Categories" sheetId="6" r:id="rId6"/>
    <sheet name="Participant Demographics" sheetId="7" r:id="rId7"/>
    <sheet name="Pass 3 Corrected Summary" sheetId="8" r:id="rId8"/>
    <sheet name="Task Coding (review)" sheetId="9" r:id="rId9"/>
    <sheet name="Table S2 - Other Combinations" sheetId="10" r:id="rId10"/>
    <sheet name="Figure 4 - QAS profile" sheetId="12" r:id="rId11"/>
    <sheet name="Figure 5 - cross-domain" sheetId="14" r:id="rId12"/>
  </sheets>
  <definedNames>
    <definedName name="_xlnm._FilterDatabase" localSheetId="0" hidden="1">'Final Included all datasets'!$A$1:$P$99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4" roundtripDataChecksum="Pxsjy7Z8dRM2UFKj36w1vUlxodWzvU0AnHs9xWgCUfI="/>
    </ext>
  </extLst>
</workbook>
</file>

<file path=xl/calcChain.xml><?xml version="1.0" encoding="utf-8"?>
<calcChain xmlns="http://schemas.openxmlformats.org/spreadsheetml/2006/main">
  <c r="D33" i="10" l="1"/>
  <c r="D32" i="10"/>
  <c r="D31" i="10"/>
  <c r="D30" i="10"/>
  <c r="D29" i="10"/>
  <c r="D26" i="10"/>
  <c r="C87" i="9"/>
  <c r="C86" i="9"/>
  <c r="C85" i="9"/>
  <c r="C84" i="9"/>
  <c r="B7" i="2"/>
</calcChain>
</file>

<file path=xl/sharedStrings.xml><?xml version="1.0" encoding="utf-8"?>
<sst xmlns="http://schemas.openxmlformats.org/spreadsheetml/2006/main" count="5196" uniqueCount="1526">
  <si>
    <t>ID</t>
  </si>
  <si>
    <t>Source DB</t>
  </si>
  <si>
    <t>Original #</t>
  </si>
  <si>
    <t>Source File</t>
  </si>
  <si>
    <t>Title</t>
  </si>
  <si>
    <t>Authors</t>
  </si>
  <si>
    <t>Journal</t>
  </si>
  <si>
    <t>Date</t>
  </si>
  <si>
    <t>Dataset Name</t>
  </si>
  <si>
    <t>Sensors Used</t>
  </si>
  <si>
    <t>N Participants</t>
  </si>
  <si>
    <t>Participant Type</t>
  </si>
  <si>
    <t>Sex (M/F)</t>
  </si>
  <si>
    <t>Ethics Approval #</t>
  </si>
  <si>
    <t>Dataset Link / downloadable link</t>
  </si>
  <si>
    <t>Activities Performed</t>
  </si>
  <si>
    <t>Repository</t>
  </si>
  <si>
    <t>Download Link</t>
  </si>
  <si>
    <t>PubMed</t>
  </si>
  <si>
    <t>1-s2.0-S0003687020300958-main.pdf</t>
  </si>
  <si>
    <t>A novel vision-based real-time method for evaluating postural risk factors associated with musculoskeletal disorders</t>
  </si>
  <si>
    <t>Li Li, Tara Martin, Xu Xu</t>
  </si>
  <si>
    <t>Applied Ergonomics</t>
  </si>
  <si>
    <t>H3.6M / lifting lab data</t>
  </si>
  <si>
    <t>RGB camera (2D images)</t>
  </si>
  <si>
    <t xml:space="preserve">11 professional Actors </t>
  </si>
  <si>
    <t>N/A (public benchmark dataset)</t>
  </si>
  <si>
    <t>6 M/5 F</t>
  </si>
  <si>
    <t>Not reported</t>
  </si>
  <si>
    <t>https://doi.org/10.1016/j.apergo.2020.103138</t>
  </si>
  <si>
    <t>Upper limb occupational tasks, RULA assessment</t>
  </si>
  <si>
    <t xml:space="preserve"> Paper DOI</t>
  </si>
  <si>
    <t>1-s2.0-S0021929017301008-main.pdf</t>
  </si>
  <si>
    <t>Standardization proposal of soft tissue artefact description for data sharing in human motion measurements</t>
  </si>
  <si>
    <t>Andrea Cereatti, Tecla Bonci, Massoud Akbarshahi, Kamiar Aminian, Arnaud Barré, et al.</t>
  </si>
  <si>
    <t>Journal of Biomechanics</t>
  </si>
  <si>
    <t>STA (Soft Tissue Artefact) database</t>
  </si>
  <si>
    <t>Motion capture (stereophotogrammetry), IMU, wearable sensors</t>
  </si>
  <si>
    <t>Healthy adults</t>
  </si>
  <si>
    <t>https://doi.org/10.1016/j.jbiomech.2017.02.004</t>
  </si>
  <si>
    <t>Sit-to-stand, step-up, gait, arm adduction (STA assessment)</t>
  </si>
  <si>
    <t>1-s2.0-S0021929023004554-main.pdf</t>
  </si>
  <si>
    <t>Multi-task artificial neural networks and their extrapolation capabilities to predict full-body 3D human posture during one- and two-handed load-handling activities</t>
  </si>
  <si>
    <t>Mahdi Mohseni, Sadra Zargarzadeh, Navid Arjmand</t>
  </si>
  <si>
    <t>Full-body posture prediction kinematic dataset</t>
  </si>
  <si>
    <t>Motion capture (41 skin markers)</t>
  </si>
  <si>
    <t>35 (20+15)</t>
  </si>
  <si>
    <t>IR.IUMS.REC.1401.740</t>
  </si>
  <si>
    <t>https://doi.org/10.1016/j.jbiomech.2023.111884</t>
  </si>
  <si>
    <t>Squatting (full/semi), reaching, standing, load handling</t>
  </si>
  <si>
    <t>1-s2.0-S0021929025004981-main.pdf</t>
  </si>
  <si>
    <t>Validity and reliability of monocular 3D markerless gait analysis in simulated pathological gait: A comparative study with OpenCap</t>
  </si>
  <si>
    <t>Brian Horsak, Mark Simonlehner, Viktoria Quehenberger, Bernhard Dumphart, Philipp Wegscheider, Andreas Kranzl, Djordje Slijepcevic</t>
  </si>
  <si>
    <t>OpenCap markerless gait dataset</t>
  </si>
  <si>
    <t>Video (CameraHMR monocular), marker-based MoCap, OpenCap</t>
  </si>
  <si>
    <t>19</t>
  </si>
  <si>
    <t>https://doi.org/10.1016/j.jbiomech.2025.112986</t>
  </si>
  <si>
    <t>Walking (physiological and pathological gait, markerless)</t>
  </si>
  <si>
    <t>1-s2.0-S0021929026000035-main.pdf</t>
  </si>
  <si>
    <t>Predicting human gait kinematics and kinetics from a single inertial measurement unit using deep learning and synthetic datasets: A blinded assessment study</t>
  </si>
  <si>
    <t>Metin Bicer, Andrew TM Phillips, Oğuz Faik Seven, Matthew Banger, Alison H McGregor, Luca Modenese</t>
  </si>
  <si>
    <t>IMU gait dataset (synthetic + real IMU)</t>
  </si>
  <si>
    <t>Single IMU (sacrum-worn), marker-based MoCap</t>
  </si>
  <si>
    <t>59 (49+7+3)</t>
  </si>
  <si>
    <t>2IC7598</t>
  </si>
  <si>
    <t>https://doi.org/10.1016/j.jbiomech.2026.113149</t>
  </si>
  <si>
    <t>Walking (single IMU sacrum, gait kinematics/kinetics)</t>
  </si>
  <si>
    <t>1-s2.0-S002192902600093X-main.pdf</t>
  </si>
  <si>
    <t>Development and validation of a deep learning markerless system for lower-limb kinematics in hip and knee osteoarthritis population</t>
  </si>
  <si>
    <t>Junqing Wang, Tengfei Li, Wei Xu, Bo Hu, Fashu Xu, Bin Song, Yong Nie, Yubo Fan, Kang Li</t>
  </si>
  <si>
    <t>OA gait dataset (West China Hospital)</t>
  </si>
  <si>
    <t>Multi-camera markerless system (4 cameras), marker-based MoCap</t>
  </si>
  <si>
    <t>150</t>
  </si>
  <si>
    <t>Hip/knee osteoarthritis patients</t>
  </si>
  <si>
    <t>2023-520/2023-903</t>
  </si>
  <si>
    <t>https://doi.org/10.1016/j.jbiomech.2026.113238</t>
  </si>
  <si>
    <t>Walking (gait analysis, knee OA)</t>
  </si>
  <si>
    <t>1-s2.0-S0966636221005701-main.pdf</t>
  </si>
  <si>
    <t>Descending 13 real world steps: A dataset and analysis of stair descent</t>
  </si>
  <si>
    <t>Astrini Sie, Maxim Karrenbach, Charlie Fisher, Shawn Fisher, Nathaniel Wieck, Callysta Caraballo, Elisabeth Case, David Boe, Brittney Muir, Eric Rombokas</t>
  </si>
  <si>
    <t>Gait &amp; Posture</t>
  </si>
  <si>
    <t>Stair descent dataset</t>
  </si>
  <si>
    <t>Xsens MTw Awinda (full-body IMU), Moticon SCIENCE pressure insoles</t>
  </si>
  <si>
    <t>101</t>
  </si>
  <si>
    <t>Healthy young adults</t>
  </si>
  <si>
    <t>54M/47F</t>
  </si>
  <si>
    <t>https://doi.org/10.1016/j.gaitpost.2021.10.039</t>
  </si>
  <si>
    <t>Stair descent (13 real-world steps)</t>
  </si>
  <si>
    <t>1-s2.0-S0972978X25005045-main.pdf</t>
  </si>
  <si>
    <t>mModPoEs: Multimodal posture estimation and feedback-driven correction of load-bearing human movements using wearable sensors and computer vision</t>
  </si>
  <si>
    <t>P. Gokul Thilaak, G. Malathi, D. Thiagarajan</t>
  </si>
  <si>
    <t>Journal of Orthopaedics</t>
  </si>
  <si>
    <t>Posture estimation dataset (Tagore College)</t>
  </si>
  <si>
    <t>2 IMUs (T1-T2, T12-L1 vertebrae), flex sensors, MediaPipe (video)</t>
  </si>
  <si>
    <t>40</t>
  </si>
  <si>
    <t>https://doi.org/10.1016/j.jor.2025.12.024</t>
  </si>
  <si>
    <t>Sitting, standing, walking (12 posture conditions, healthy adults)</t>
  </si>
  <si>
    <t>1-s2.0-S2405844024080733-main.pdf</t>
  </si>
  <si>
    <t>Kinematic synergies show good consistency when extracted with a low-cost markerless device and a marker-based motion tracking system</t>
  </si>
  <si>
    <t>Cristina Brambilla, Alessandro Scano</t>
  </si>
  <si>
    <t>Heliyon</t>
  </si>
  <si>
    <t>Upper limb kinematic synergies dataset</t>
  </si>
  <si>
    <t>Kinect V2 (RGB-D), Vicon (10 cameras, 25 markers)</t>
  </si>
  <si>
    <t>15</t>
  </si>
  <si>
    <t>0044338/2018</t>
  </si>
  <si>
    <t>https://doi.org/10.1016/j.heliyon.2024.e32042</t>
  </si>
  <si>
    <t>Upper limb movements, locomotion, hand grasps</t>
  </si>
  <si>
    <t>11517_2025_Article_3466.pdf</t>
  </si>
  <si>
    <t>An open-source, externally validated neural network algorithm to recognize daily-life gait of older adults based on a lower-back sensor</t>
  </si>
  <si>
    <t>Yuge Zhang, Sjoerd M. Bruijn, Michiel Punt, Jorunn L. Helbostad, Mirjam Pijnappels, Sina David</t>
  </si>
  <si>
    <t>Medical &amp; Biological Engineering &amp; Computing</t>
  </si>
  <si>
    <t>Older adult gait recognition dataset</t>
  </si>
  <si>
    <t>IMU (lower-back inertial sensor)</t>
  </si>
  <si>
    <t>67 (20+47)</t>
  </si>
  <si>
    <t>Older adults</t>
  </si>
  <si>
    <t>METC 20-462/C</t>
  </si>
  <si>
    <t>https://doi.org/10.1007/s11517-025-03466-z</t>
  </si>
  <si>
    <t>Walking (daily-life gait, older adults, IMU)</t>
  </si>
  <si>
    <t>13428_2024_Article_2433.pdf</t>
  </si>
  <si>
    <t>EMOKINE: A software package and computational framework for scaling up the creation of highly controlled emotional full-body movement datasets</t>
  </si>
  <si>
    <t>Julia F. Christensen, Andrés Fernández, Rebecca A. Smith, Georgios Michalareas, Sina H. N. Yazdi, Fahima Farahi, Eva-Madeleine Schmidt, Nasimeh Bahmanian, Gemma Roig</t>
  </si>
  <si>
    <t>Behavior Research Methods</t>
  </si>
  <si>
    <t>EMOKINE dataset (pilot)</t>
  </si>
  <si>
    <t>XSENS motion capture (17 sensors, 240 fps)</t>
  </si>
  <si>
    <t>1 (pilot, professional dancer)</t>
  </si>
  <si>
    <t>Professional dancer / performer</t>
  </si>
  <si>
    <t>Nr. 2017_12</t>
  </si>
  <si>
    <t>https://doi.org/10.3758/s13428-024-02433-0</t>
  </si>
  <si>
    <t>Dance, side steps, walking, pointing, drinking, throwing (emotional kinematics)</t>
  </si>
  <si>
    <t>41597_2019_Article_124.pdf</t>
  </si>
  <si>
    <t>A multimodal dataset of human gait at different walking speeds established on injury-free adult participants</t>
  </si>
  <si>
    <t>Céline Schreiber, Florent Moissenet</t>
  </si>
  <si>
    <t>Scientific Data</t>
  </si>
  <si>
    <t>Human gait multimodal dataset</t>
  </si>
  <si>
    <t>Motion capture (52 markers), EMG, force plates</t>
  </si>
  <si>
    <t>50</t>
  </si>
  <si>
    <t>24F/26M</t>
  </si>
  <si>
    <t>https://doi.org/10.1038/s41597-019-0124-4</t>
  </si>
  <si>
    <t>Walking (10-m straight, multiple speeds, kinematics/kinetics)</t>
  </si>
  <si>
    <t>Figshare</t>
  </si>
  <si>
    <t>https://doi.org/10.6084/m9.figshare.7734767.v8</t>
  </si>
  <si>
    <t>41597_2020_Article_494.pdf</t>
  </si>
  <si>
    <t>A kinematic and kinetic dataset of 18 above-knee amputees walking at various speeds</t>
  </si>
  <si>
    <t>Sarah Hood, Marshall K. Ishmael, Andrew Gunnell, K. B. Foreman, Tommaso Lenzi</t>
  </si>
  <si>
    <t>Above-knee amputee gait dataset</t>
  </si>
  <si>
    <t>10-camera motion capture, instrumented treadmill</t>
  </si>
  <si>
    <t>18</t>
  </si>
  <si>
    <t>Above-knee amputees</t>
  </si>
  <si>
    <t>https://doi.org/10.1038/s41597-020-0494-7</t>
  </si>
  <si>
    <t>Walking at various speeds (above-knee amputees)</t>
  </si>
  <si>
    <t>https://doi.org/10.6084/m9.figshare.10308443</t>
  </si>
  <si>
    <t>41597_2020_Article_627.pdf</t>
  </si>
  <si>
    <t>An Asian-centric human movement database capturing activities of daily living</t>
  </si>
  <si>
    <t>Phyllis Liang, Wai Hang Kwong, Ananda Sidarta, Choon Kong Yap, Wee Kiat Tan, Lek Syn Lim, Pui Yee Chan, Christopher Wee Keong Kuah, Seng Kwee Wee, Karen Chua, Colin Quek, Wei Tech Ang</t>
  </si>
  <si>
    <t>Asian ADL database</t>
  </si>
  <si>
    <t>Qualisys motion capture, force plates, instrumented furniture</t>
  </si>
  <si>
    <t>12</t>
  </si>
  <si>
    <t>7M/5F</t>
  </si>
  <si>
    <t>IRB-2018-04-014</t>
  </si>
  <si>
    <t>https://doi.org/10.1038/s41597-020-00627-7</t>
  </si>
  <si>
    <t>Step up/down, cross obstacle, reach-grasp (lateral/forward), hand to mouth, hand on head, 10m walk, balance, key turning, folding towel</t>
  </si>
  <si>
    <t>DR-NTU</t>
  </si>
  <si>
    <t>https://doi.org/10.21979/N9/7VF22X</t>
  </si>
  <si>
    <t>41597_2021_Article_1057.pdf</t>
  </si>
  <si>
    <t>Lower-limb kinematics and kinetics during continuously varying human locomotion</t>
  </si>
  <si>
    <t>Emma Reznick, Kyle R. Embry, Ross Neuman, Edgar Bolívar-Nieto, Nicholas P. Fey, Robert D. Gregg</t>
  </si>
  <si>
    <t>Continuously varying locomotion dataset</t>
  </si>
  <si>
    <t>Vicon motion capture, force plates, IMU</t>
  </si>
  <si>
    <t>10</t>
  </si>
  <si>
    <t>5M/5F</t>
  </si>
  <si>
    <t>https://doi.org/10.1038/s41597-021-01057-9</t>
  </si>
  <si>
    <t>Walking, running (treadmill), stair climbing, sit-to-stand, speed/incline transitions</t>
  </si>
  <si>
    <t>https://doi.org/10.6084/m9.figshare.c.5175254</t>
  </si>
  <si>
    <t>41597_2022_Article_1802.pdf</t>
  </si>
  <si>
    <t>Human mobile robot interaction in the retail environment</t>
  </si>
  <si>
    <t>Yuhao Chen, Yue Luo, Chizhao Yang, Mustafa Ozkan Yerebakan, Shuai Hao, Nicolas Grimaldi, Song Li, Read Hayes, Boyi Hu</t>
  </si>
  <si>
    <t>Human-robot interaction retail dataset</t>
  </si>
  <si>
    <t>Full-body motion capture, eye gaze tracker, robot sensors</t>
  </si>
  <si>
    <t>8</t>
  </si>
  <si>
    <t>IRB202002765</t>
  </si>
  <si>
    <t>https://doi.org/10.1038/s41597-022-01802-8</t>
  </si>
  <si>
    <t>Shopping tasks: picking up/putting items, pushing/pulling cart, browsing shelf, bending/crouching</t>
  </si>
  <si>
    <t>GitHub</t>
  </si>
  <si>
    <t>https://uf-retail-cobot-dataset.github.io/</t>
  </si>
  <si>
    <t>41597_2023_Article_1932.pdf</t>
  </si>
  <si>
    <t>A Non-Laboratory Gait Dataset of Full Body Kinematics and Egocentric Vision</t>
  </si>
  <si>
    <t>Abhishek Sharma, Vijeth Rai, Melissa Calvert, Zhongyi Dai, Zhenghao Guo, David Boe, Eric Rombokas</t>
  </si>
  <si>
    <t>Non-laboratory gait dataset (egocentric)</t>
  </si>
  <si>
    <t>IMU (wearable MoCap), eye tracker</t>
  </si>
  <si>
    <t>44</t>
  </si>
  <si>
    <t>Healthy adults (college students)</t>
  </si>
  <si>
    <t>STUDY00004707</t>
  </si>
  <si>
    <t>https://doi.org/10.1038/s41597-023-01932-7</t>
  </si>
  <si>
    <t>Forward walking, backward walking, side stepping, obstacle avoidance, ramp, level ground, stairs</t>
  </si>
  <si>
    <t>https://doi.org/10.6084/m9.figshare.c.6076607</t>
  </si>
  <si>
    <t>41597_2023_Article_2077.pdf</t>
  </si>
  <si>
    <t>A dataset of asymptomatic human gait and movements obtained from markers, IMUs, insoles and force plates</t>
  </si>
  <si>
    <t>Gautier Grouvel, Lena Carcreff, Florent Moissenet, Stéphane Armand</t>
  </si>
  <si>
    <t>Multimodal gait dataset (markers+IMUs+insoles)</t>
  </si>
  <si>
    <t>Motion capture (69 markers), 8 IMU sensors, pressure insoles, force plates</t>
  </si>
  <si>
    <t>4F/6M</t>
  </si>
  <si>
    <t>https://doi.org/10.1038/s41597-023-02077-3</t>
  </si>
  <si>
    <t>Walking, running (overground and treadmill)</t>
  </si>
  <si>
    <t>Yareta</t>
  </si>
  <si>
    <t>https://doi.org/10.26037/yareta:xkxgaw6ewjdhfntdhtj7upepxy</t>
  </si>
  <si>
    <t>41597_2023_Article_2263.pdf</t>
  </si>
  <si>
    <t>Surface electromyogram, kinematic, and kinetic dataset of lower limb walking for movement intent recognition</t>
  </si>
  <si>
    <t>Wenhao Wei, Fangning Tan, Hang Zhang, He Mao, Menglong Fu, Oluwarotimi Williams Samuel, Guanglin Li</t>
  </si>
  <si>
    <t>SIAT-LLMD (lower limb motion dataset)</t>
  </si>
  <si>
    <t>sEMG (9 wireless sensors), motion capture, 6-DOF force plates</t>
  </si>
  <si>
    <t>30M/10F</t>
  </si>
  <si>
    <t>SIAT-IRB-210315-H0555</t>
  </si>
  <si>
    <t>https://doi.org/10.1038/s41597-023-02263-3</t>
  </si>
  <si>
    <t>Walking level ground, standing up, sitting down, stair ascent/descent, knee lift, toe tip, leg lift forward/backward, static posture</t>
  </si>
  <si>
    <t>https://doi.org/10.6084/m9.figshare.c.6271164.v1</t>
  </si>
  <si>
    <t>41597_2023_Article_2554.pdf</t>
  </si>
  <si>
    <t>Multimodal video and IMU kinematic dataset on daily life activities using affordable devices</t>
  </si>
  <si>
    <t>Mario Martínez-Zarzuela, Javier González-Alonso, Míriam Antón-Rodríguez, Francisco J. Díaz-Pernas, Henning Müller, Cristina Simón-Martínez</t>
  </si>
  <si>
    <t>VIDIMU dataset</t>
  </si>
  <si>
    <t>Video camera, 5 IMU sensors</t>
  </si>
  <si>
    <t>54</t>
  </si>
  <si>
    <t>PI 21-2341</t>
  </si>
  <si>
    <t>https://doi.org/10.1038/s41597-023-02554-9</t>
  </si>
  <si>
    <t>Walk forward, walk backward, walk along line, sit-to-stand, ball throw, rehabilitation exercises (13 activities)</t>
  </si>
  <si>
    <t>Zenodo</t>
  </si>
  <si>
    <t>https://doi.org/10.5281/zenodo.7681316</t>
  </si>
  <si>
    <t>41597_2023_Article_2679.pdf</t>
  </si>
  <si>
    <t>High-density EMG, IMU, kinetic, and kinematic open-source data for comprehensive locomotion activities</t>
  </si>
  <si>
    <t>Hristo Dimitrov, Anthony M.J. Bull, Dario Farina</t>
  </si>
  <si>
    <t>Comprehensive locomotion dataset (HD-EMG+IMU)</t>
  </si>
  <si>
    <t>HD-sEMG, IMU, motion capture, force plates</t>
  </si>
  <si>
    <t>21IC6941</t>
  </si>
  <si>
    <t>https://doi.org/10.1038/s41597-023-02679-x</t>
  </si>
  <si>
    <t>Level-ground walking, slope walking, stair ascent/descent, side stepping, stand-to-walk, sit-to-stand-to-walk (multiple speeds)</t>
  </si>
  <si>
    <t>https://doi.org/10.6084/m9.figshare.22227337.v2</t>
  </si>
  <si>
    <t>41597_2023_Article_2840.pdf</t>
  </si>
  <si>
    <t>A human lower-limb biomechanics and wearable sensors dataset during cyclic and non-cyclic activities</t>
  </si>
  <si>
    <t>Keaton Scherpereel, Dean Molinaro, Omer Inan, Max Shepherd, Aaron Young</t>
  </si>
  <si>
    <t>Lower-limb biomechanics dataset (cyclic+non-cyclic)</t>
  </si>
  <si>
    <t>Vicon (29 overhead + 4 ground cameras), IMU, force plates, EMG</t>
  </si>
  <si>
    <t>IRB H17240</t>
  </si>
  <si>
    <t>https://doi.org/10.1038/s41597-023-02840-6</t>
  </si>
  <si>
    <t>Walking, running, step over, sit-to-stand, turning, squats, lifting weight, jumping, posing, cutting, lunges, ball toss, step ups, curb jump</t>
  </si>
  <si>
    <t>Georgia Tech</t>
  </si>
  <si>
    <t>https://doi.org/10.35090/gatech/70296</t>
  </si>
  <si>
    <t>41597_2024_Article_4166.pdf</t>
  </si>
  <si>
    <t>Foot kinematics and kinetics data for different static foot posture collected using a multi-segment foot model</t>
  </si>
  <si>
    <t>Enrique Sanchis-Sales, Joaquín L. Sancho-Bru, Alba Roda-Sales, MaJosé Chiva-Miralles, Carmen García-Gomáriz</t>
  </si>
  <si>
    <t>Foot kinematics dataset (multi-segment foot model)</t>
  </si>
  <si>
    <t>3D motion capture, pressure platform</t>
  </si>
  <si>
    <t>70</t>
  </si>
  <si>
    <t>70M/0F</t>
  </si>
  <si>
    <t>CD/UJI/03/12/2013</t>
  </si>
  <si>
    <t>https://doi.org/10.1038/s41597-024-04166-3</t>
  </si>
  <si>
    <t>Walking (foot kinematics, multi-segment foot model, static foot posture classification)</t>
  </si>
  <si>
    <t>41597_2024_Article_4285.pdf</t>
  </si>
  <si>
    <t>ankleImage - an ultrafast ultrasound image dataset to understand the ankle joint muscle contractility</t>
  </si>
  <si>
    <t>Qiang Zhang, Noor Hakam, Oluwasegun Akinniyi, Ashwin Iyer, Xuefeng Bao, Nitin Sharma</t>
  </si>
  <si>
    <t>ankleImage dataset</t>
  </si>
  <si>
    <t>Ultrafast ultrasound, sEMG, motion capture</t>
  </si>
  <si>
    <t>7M/3F</t>
  </si>
  <si>
    <t>PRO18020072</t>
  </si>
  <si>
    <t>https://doi.org/10.1038/s41597-024-04285-x</t>
  </si>
  <si>
    <t>Ankle dorsiflexion/plantarflexion (isometric, isokinetic), walking at 5 treadmill speeds (0.50–1.50 m/s)</t>
  </si>
  <si>
    <t>41597_2025_Article_4695.pdf</t>
  </si>
  <si>
    <t>Open dataset of kinetics, kinematics, and electromyography of above-knee amputees during stand-up and sit-down</t>
  </si>
  <si>
    <t>Grace R. Hunt, Lukas Gabert, Colby Hansen, K. Bo Foreman, Tommaso Lenzi</t>
  </si>
  <si>
    <t>Above-knee amputee stand-up/sit-down dataset</t>
  </si>
  <si>
    <t>12-camera motion capture, force plates, EMG</t>
  </si>
  <si>
    <t>9</t>
  </si>
  <si>
    <t>IRB 00103197</t>
  </si>
  <si>
    <t>https://doi.org/10.1038/s41597-025-04695-5</t>
  </si>
  <si>
    <t>Stand-up and sit-down (above-knee amputees with passive prostheses)</t>
  </si>
  <si>
    <t>https://doi.org/10.6084/m9.figshare.26282872</t>
  </si>
  <si>
    <t>41597_2025_Article_4818.pdf</t>
  </si>
  <si>
    <t>A Full-Body IMU-Based Motion Dataset of Daily Tasks by Older and Younger Adults</t>
  </si>
  <si>
    <t>Loreen Pogrzeba, Evelyn Muschter, Simon Hanisch, Veronica Y.P. Wardhani, Thorsten Strufe, Frank H.P. Fitzek, Shu-Chen Li</t>
  </si>
  <si>
    <t>CeTI-Age-Kinematics dataset</t>
  </si>
  <si>
    <t>IMU sensor suit and gloves (full-body)</t>
  </si>
  <si>
    <t>32</t>
  </si>
  <si>
    <t>Older and younger adults</t>
  </si>
  <si>
    <t>17F/15M</t>
  </si>
  <si>
    <t>SR-EK-5012021</t>
  </si>
  <si>
    <t>https://doi.org/10.1038/s41597-025-04818-y</t>
  </si>
  <si>
    <t>Walking (normal, hurried), carrying, sit-to-stand (5RSTST), upper limb tasks, reaching/placing objects</t>
  </si>
  <si>
    <t>https://doi.org/10.6084/m9.figshare.26983645</t>
  </si>
  <si>
    <t>41597_2025_Article_5391.pdf</t>
  </si>
  <si>
    <t>Comprehensive human locomotion and electromyography dataset: Gait120</t>
  </si>
  <si>
    <t>Junyo Boo, Dongwook Seo, Minseung Kim, Seungbum Koo</t>
  </si>
  <si>
    <t>Gait120</t>
  </si>
  <si>
    <t>Optical motion capture, force plates, sEMG</t>
  </si>
  <si>
    <t>120</t>
  </si>
  <si>
    <t>Healthy adult males</t>
  </si>
  <si>
    <t>120M/0F</t>
  </si>
  <si>
    <t>KH2023-053</t>
  </si>
  <si>
    <t>https://doi.org/10.1038/s41597-025-05391-0</t>
  </si>
  <si>
    <t>Level walking, stair ascent/descent, slope ascending/descending, sit-to-stand/stand-to-sit (7 tasks)</t>
  </si>
  <si>
    <t>https://doi.org/10.6084/m9.figshare.27677016</t>
  </si>
  <si>
    <t>41597_2025_Article_5642.pdf</t>
  </si>
  <si>
    <t>A multimodal biomechanical and eye-tracking dataset of suprapostural coordination in healthy young adults</t>
  </si>
  <si>
    <t>Madhur Mangalam, Mahsa Barfi, Theodore Deligiannis, Brian Schlattmann</t>
  </si>
  <si>
    <t>Suprapostural coordination dataset</t>
  </si>
  <si>
    <t>12-camera motion capture, eye tracker, force plate</t>
  </si>
  <si>
    <t>48</t>
  </si>
  <si>
    <t>24M/24F</t>
  </si>
  <si>
    <t>0055-23-EP</t>
  </si>
  <si>
    <t>https://doi.org/10.1038/s41597-025-05642-0</t>
  </si>
  <si>
    <t>Quiet standing, balance perturbations (mediolateral axis instability)</t>
  </si>
  <si>
    <t>41597_2025_Article_5934.pdf</t>
  </si>
  <si>
    <t>Motion capture data of six jump-landings, fatigued and non-fatigued, after anterior cruciate ligament injury</t>
  </si>
  <si>
    <t>Maité Calisti, Maurice Mohr, Peter Federolf</t>
  </si>
  <si>
    <t>ACL injury jump-landing dataset</t>
  </si>
  <si>
    <t>3D motion capture, force plates</t>
  </si>
  <si>
    <t>43 (21 ACL + 22 healthy)</t>
  </si>
  <si>
    <t>ACL-injured athletes and healthy controls</t>
  </si>
  <si>
    <t>98/2022 Innsbruck</t>
  </si>
  <si>
    <t>https://doi.org/10.1038/s41597-025-05934-5</t>
  </si>
  <si>
    <t>Jump-landing (fatigued and non-fatigued), fatigue protocol (box jumps, squats)</t>
  </si>
  <si>
    <t>Paper DOI</t>
  </si>
  <si>
    <t>41597_2025_Article_6439.pdf</t>
  </si>
  <si>
    <t>GaItEX: Human motion dataset of impaired gait and rehabilitation exercises using inertial and optical sensors</t>
  </si>
  <si>
    <t>Andreas Spilz, Heiko Oppel, Jochen Werner, Kathrin Stucke-Straub, Felix Capanni, Michael Munz</t>
  </si>
  <si>
    <t>GaItEX dataset</t>
  </si>
  <si>
    <t>9 IMU sensors, marker-based MoCap (68 markers)</t>
  </si>
  <si>
    <t>15M/4F</t>
  </si>
  <si>
    <t>2024-01</t>
  </si>
  <si>
    <t>https://doi.org/10.1038/s41597-025-06439-x</t>
  </si>
  <si>
    <t>Walking, gait-related exercises (rehabilitation, IMU + MoCap)</t>
  </si>
  <si>
    <t>https://doi.org/10.5281/zenodo.15729055</t>
  </si>
  <si>
    <t>41597_2026_Article_6925.pdf</t>
  </si>
  <si>
    <t>Motion capture dataset of 137 post-operative total hip replacement patients performing activities of daily living</t>
  </si>
  <si>
    <t>David E. Lunn, Enrico De Pieri, Graham J. Chapman, Morten E. Lund, Stephen J. Ferguson, Anthony C. Redmond</t>
  </si>
  <si>
    <t>Total hip replacement ADL dataset</t>
  </si>
  <si>
    <t>10-camera Vicon MoCap, AMTI force plates</t>
  </si>
  <si>
    <t>137</t>
  </si>
  <si>
    <t>Post-operative total hip replacement patients</t>
  </si>
  <si>
    <t>67M/70F</t>
  </si>
  <si>
    <t>14/NE/1013</t>
  </si>
  <si>
    <t>https://doi.org/10.1038/s41597-026-06925-w</t>
  </si>
  <si>
    <t>Normal walking, fast walking, stair ascent, stair descent, squat, lunge, sit-to-stand, stand-to-sit (8 ADL total)</t>
  </si>
  <si>
    <t>Personalization_of_Wearable_Sensor-Based_Joint_Kinematics_Estimation_Using_Computer_Vision_for_Hip_Exoskeleton_Applications.pdf</t>
  </si>
  <si>
    <t>Personalization of Wearable Sensor-Based Joint Kinematics Estimation Using Computer Vision for Hip Exoskeleton Applications</t>
  </si>
  <si>
    <t>Changseob Song, Bogdan Ivanyuk-Skulskyi, Adrian Krieger, Kaitao Luo, Inseung Kang</t>
  </si>
  <si>
    <t>IEEE ICORR 2025</t>
  </si>
  <si>
    <t>Gait dataset (hip exoskeleton, wearable sensors)</t>
  </si>
  <si>
    <t>IMU (wearable), smartphone camera (computer vision)</t>
  </si>
  <si>
    <t>3</t>
  </si>
  <si>
    <t>1F/2M</t>
  </si>
  <si>
    <t>doi: 10.1109/ICORR66766.2025.11063180</t>
  </si>
  <si>
    <t>Walking (hip exoskeleton, gait kinematics estimation)</t>
  </si>
  <si>
    <t>https://doi.org/10.1109/ICORR66766.2025.11063180</t>
  </si>
  <si>
    <t>Wearable_Motion_Capture_Reconstructing_and_Predicting_3D_Human_Poses_From_Wearable_Sensors.pdf</t>
  </si>
  <si>
    <t>Wearable Motion Capture: Reconstructing and Predicting 3D Human Poses From Wearable Sensors</t>
  </si>
  <si>
    <t>Md Moniruzzaman, Zhaozheng Yin, Md Sanzid Bin Hossain, Hwan Choi, Zhishan Guo</t>
  </si>
  <si>
    <t>IEEE Journal of Biomedical and Health Informatics</t>
  </si>
  <si>
    <t>WearableMotionCapture dataset</t>
  </si>
  <si>
    <t>Wearable IMU sensors, wearable camera</t>
  </si>
  <si>
    <t>6M/4F</t>
  </si>
  <si>
    <t>STUDY00002011 (UCF IRB)</t>
  </si>
  <si>
    <t>github.com/MoniruzzamanMd/WearableMotionCapture</t>
  </si>
  <si>
    <t>Walking: treadmill, round path, ground, stairs, slope, obstacles (6 conditions)</t>
  </si>
  <si>
    <t>https://github.com/MoniruzzamanMd/WearableMotionCapture</t>
  </si>
  <si>
    <t>bioengineering-12-00891.pdf</t>
  </si>
  <si>
    <t>A High-Fidelity mmWave Radar Dataset for Privacy-Sensitive Human Pose Estimation</t>
  </si>
  <si>
    <t>Yuanzhi Su, Huiying (Cynthia) Hou, Haifeng Lan, Christina Zong-Hao Ma</t>
  </si>
  <si>
    <t>Bioengineering</t>
  </si>
  <si>
    <t>mmFree-Pose</t>
  </si>
  <si>
    <t>mmWave radar, VDSuit-Full motion capture</t>
  </si>
  <si>
    <t>HSEARS20240926009</t>
  </si>
  <si>
    <t>https://doi.org/10.3390/bioengineering12080891</t>
  </si>
  <si>
    <t>Various poses (mmWave radar human pose estimation)</t>
  </si>
  <si>
    <t>fbioe-08-00362.pdf</t>
  </si>
  <si>
    <t>Lower Limb Kinematics Trajectory Prediction Using Long Short-Term Memory Neural Networks</t>
  </si>
  <si>
    <t>Abdelrahman Zaroug, Daniel T.H. Lai, Kurt Mudie, Rezaul Begg</t>
  </si>
  <si>
    <t>Frontiers in Bioengineering and Biotechnology</t>
  </si>
  <si>
    <t>Lower limb kinematics walking dataset</t>
  </si>
  <si>
    <t>3D motion capture (100 Hz)</t>
  </si>
  <si>
    <t>6</t>
  </si>
  <si>
    <t>6M/0F</t>
  </si>
  <si>
    <t>Protocol 852-17</t>
  </si>
  <si>
    <t>doi: 10.3389/fbioe.2020.00362</t>
  </si>
  <si>
    <t>Walking (treadmill 5 km/h, 10 min; lower limb trajectory prediction)</t>
  </si>
  <si>
    <t>https://doi.org/10.3389/fbioe.2020.00362</t>
  </si>
  <si>
    <t>fbioe-10-918939.pdf</t>
  </si>
  <si>
    <t>Complexity of locomotion activities in an outside-of-the-lab wearable motion capture dataset</t>
  </si>
  <si>
    <t>Abhishek Sharma, Eric Rombokas</t>
  </si>
  <si>
    <t>Out-of-lab wearable MoCap dataset</t>
  </si>
  <si>
    <t>Xsens Awinda (17 IMU sensors, full-body)</t>
  </si>
  <si>
    <t>20</t>
  </si>
  <si>
    <t>9F/11M</t>
  </si>
  <si>
    <t>https://github.com/abs711/The-way-of-the-future</t>
  </si>
  <si>
    <t>Walking, backward walking, complex locomotion (real-world on-field)</t>
  </si>
  <si>
    <t>fnins-17-992585.pdf</t>
  </si>
  <si>
    <t>A public data set of walking full-body kinematics and kinetics in individuals with Parkinson's disease</t>
  </si>
  <si>
    <t>T.K.F. Shida, T.M. Costa, C.E.N. de Oliveira, R. de Castro Treza, S.M. Hondo, E. Los Angeles, C. Bernardo, L. dos Santos de Oliveira, M. de Jesus Carvalho, D.B. Coelho</t>
  </si>
  <si>
    <t>Frontiers in Neuroscience</t>
  </si>
  <si>
    <t>Parkinson's disease gait dataset</t>
  </si>
  <si>
    <t>Raptor-4 MoCap (44 markers: 26 lower limb + 18 trunk/upper), force plates, EMG</t>
  </si>
  <si>
    <t>26</t>
  </si>
  <si>
    <t>Parkinson's disease patients</t>
  </si>
  <si>
    <t>6F/20M</t>
  </si>
  <si>
    <t>21948619.6.0000.5594</t>
  </si>
  <si>
    <t>https://doi.org/10.3389/fnins.2023.992585</t>
  </si>
  <si>
    <t>Walking overground (Parkinson's disease, ON/OFF medication)</t>
  </si>
  <si>
    <t>https://figshare.com/articles/dataset/A_dataset_of_overground_walking_full-body_kinematics_and_kinetics_in_individuals_with_Parkinson_s_disease/14896881</t>
  </si>
  <si>
    <t>frobt-06-00094.pdf</t>
  </si>
  <si>
    <t>Introducing ACASS: An Annotated Character Animation Stimulus Set for Controlled (e)Motion Perception Studies</t>
  </si>
  <si>
    <t>Sebastian Lammers, Gary Bente, Ralf Tepest, Mathis Jording, Daniel Roth, Kai Vogeley</t>
  </si>
  <si>
    <t>Frontiers in Robotics and AI</t>
  </si>
  <si>
    <t>ACASS (Annotated Character Animation Stimulus Set)</t>
  </si>
  <si>
    <t>Full-body motion capture</t>
  </si>
  <si>
    <t>22</t>
  </si>
  <si>
    <t>Healthy adults (volunteers)</t>
  </si>
  <si>
    <t>https://doi.org/10.3389/frobt.2019.00094</t>
  </si>
  <si>
    <t>Walking, pointing, throwing (32 animation clips, 4 movement types × 8 emotional conditions)</t>
  </si>
  <si>
    <t>https://doi.org/10.6084/m9.figshare.c.4443014</t>
  </si>
  <si>
    <t>jove-protocol-67152-influence-of-stepwidth-manipulation-on-running-biomechanics.pdf</t>
  </si>
  <si>
    <t>Influence of Step-Width Manipulation on Running Biomechanics</t>
  </si>
  <si>
    <t>Liu Xu, Yuan Wang, Hanhui Jiang, Xiaoyi Yang, Justin Fernandez, Qichang Mei, Yaodong Gu</t>
  </si>
  <si>
    <t>Journal of Visualized Experiments (JoVE)</t>
  </si>
  <si>
    <t>Step-width running biomechanics dataset</t>
  </si>
  <si>
    <t>Motion capture, force plates</t>
  </si>
  <si>
    <t>13</t>
  </si>
  <si>
    <t>13M/0F</t>
  </si>
  <si>
    <t>ty2022001</t>
  </si>
  <si>
    <t>doi: 10.3791/67152</t>
  </si>
  <si>
    <t>Running (step width manipulation, overground and treadmill)</t>
  </si>
  <si>
    <t>https://doi.org/10.3791/67152</t>
  </si>
  <si>
    <t>main (2).pdf</t>
  </si>
  <si>
    <t>Dataset for gait analysis and assessment of fall risk for older adults</t>
  </si>
  <si>
    <t>Pablo E. Caicedo, Carlos F. Rengifo, Luis E. Rodriguez, Wilson A. Sierra, Maria C. Gómez</t>
  </si>
  <si>
    <t>Data in Brief</t>
  </si>
  <si>
    <t>Gait analysis and fall risk dataset (POMA-G)</t>
  </si>
  <si>
    <t>Vicon Vantage V5 (7 cameras), 24 reflective markers</t>
  </si>
  <si>
    <t>37F/7M</t>
  </si>
  <si>
    <t>https://data.mendeley.com/datasets/xgw6bg3g8h/1</t>
  </si>
  <si>
    <t>Walking (straight line, POMA-G 7-item gait assessment)</t>
  </si>
  <si>
    <t>Mendeley</t>
  </si>
  <si>
    <t>main (3).pdf</t>
  </si>
  <si>
    <t>Gait data from 51 healthy participants with motion capture, inertial measurement units, and computer vision (Kuopio gait dataset)</t>
  </si>
  <si>
    <t>Jere Lavikainen, Paavo Vartiainen, Lauri Stenroth, Pasi A. Karjalainen, Rami K. Korhonen, Mimmi K. Liukkonen, Mika E. Mononen</t>
  </si>
  <si>
    <t>Kuopio gait dataset</t>
  </si>
  <si>
    <t>Motion capture, IMU, video (OpenPose/computer vision)</t>
  </si>
  <si>
    <t>51</t>
  </si>
  <si>
    <t>33M/18F</t>
  </si>
  <si>
    <t>16/2022</t>
  </si>
  <si>
    <t>https://zenodo.org/records/10559504</t>
  </si>
  <si>
    <t>Walking at multiple speeds (comfortable, fast, slow); Nordic walking</t>
  </si>
  <si>
    <t>main.pdf</t>
  </si>
  <si>
    <t>Gait dataset of 14 Syrian above-knee amputees and 20 healthy subjects</t>
  </si>
  <si>
    <t>Rufaida Hussain, Zouheir Marmar</t>
  </si>
  <si>
    <t>Above-knee amputee gait dataset (Damascus)</t>
  </si>
  <si>
    <t>BTS SMART-D video cameras (6), Kistler force plates (2)</t>
  </si>
  <si>
    <t>34 (14 amputees + 20 healthy)</t>
  </si>
  <si>
    <t>Above-knee amputees and healthy adults</t>
  </si>
  <si>
    <t>15F/19M</t>
  </si>
  <si>
    <t>https://data.mendeley.com/datasets/k5y9jkx87y/1</t>
  </si>
  <si>
    <t>Walking (above-knee amputees with prostheses, gait kinematics/kinetics)</t>
  </si>
  <si>
    <t>s41597-026-06687-5.pdf</t>
  </si>
  <si>
    <t>ULtRa-MoCap: a Multimodal IMU and sEMG Dataset for Upper Body Joint Kinematics analysis</t>
  </si>
  <si>
    <t>Oliver Fritsche, Steven Camacho, Md Sanzid Bin Hossain, Tyler Halfpenny, Carlos Arciniégas, Joseph Dranetz, Dexter Hadley, Zhishan Guo, Hwan Choi</t>
  </si>
  <si>
    <t>ULtRa-MoCap dataset</t>
  </si>
  <si>
    <t>IMU + sEMG sensors (shoulder/biceps/triceps/deltoid/forearm), motion capture</t>
  </si>
  <si>
    <t>10M/3F</t>
  </si>
  <si>
    <t>STUDY00006743</t>
  </si>
  <si>
    <t>https://doi.org/10.1038/s41597-026-06687-5</t>
  </si>
  <si>
    <t>Arm swing, crossbody reach, elbow flexion, shoulder rotation, overhead reach (5 exercises, multiple speeds)</t>
  </si>
  <si>
    <t>sdata2018133.pdf</t>
  </si>
  <si>
    <t>Full body mobile brain-body imaging data during unconstrained locomotion on stairs, ramps, and level ground</t>
  </si>
  <si>
    <t>Justin A. Brantley, Trieu Phat Luu, Sho Nakagome, Fangshi Zhu, Jose L. Contreras-Vidal</t>
  </si>
  <si>
    <t>Mobile brain-body locomotion dataset</t>
  </si>
  <si>
    <t>60-channel EEG, EMG (6 muscles), 17-IMU MoCap</t>
  </si>
  <si>
    <t>https://doi.org/10.6084/m9.figshare.5616109.v5</t>
  </si>
  <si>
    <t>Walking on level ground, ramps, stairs (EEG + EMG + motion capture)</t>
  </si>
  <si>
    <t>sensors-20-04996.pdf</t>
  </si>
  <si>
    <t>Fast Wearable Sensor–Based Foot–Ground Contact Phase Classification Using a Convolutional Neural Network with Sliding-Window Label Overlapping</t>
  </si>
  <si>
    <t>Haneul Jeon, Sang Lae Kim, Soyeon Kim, Donghun Lee</t>
  </si>
  <si>
    <t>Sensors</t>
  </si>
  <si>
    <t>Foot-ground contact phase dataset</t>
  </si>
  <si>
    <t>3 FSR insoles (toe, metatarsal, calcaneus), IMU</t>
  </si>
  <si>
    <t>doi: 10.3390/s20174996</t>
  </si>
  <si>
    <t>Walking (0.2–1.5 m/s, lower-limb motion, CNN wearable)</t>
  </si>
  <si>
    <t>https://doi.org/10.3390/s20174996</t>
  </si>
  <si>
    <t>sensors-20-05342.pdf</t>
  </si>
  <si>
    <t>Fusion of Multiple Lidars and Inertial Sensors for the Real-Time Pose Tracking of Human Motion</t>
  </si>
  <si>
    <t>Ashok Kumar Patil, Adithya Balasubramanyam, Jae Yeong Ryu, Pavan Kumar B N, Bharatesh Chakravarthi, Young Ho Chai</t>
  </si>
  <si>
    <t>Multi-LiDAR + IMU pose tracking dataset</t>
  </si>
  <si>
    <t>Velodyne VLP-16 LiDAR (16-channel), IMU</t>
  </si>
  <si>
    <t>doi: 10.3390/s20185342</t>
  </si>
  <si>
    <t>Walking and squatting (full-body pose tracking, multi-LiDAR + IMU fusion)</t>
  </si>
  <si>
    <t>https://doi.org/10.3390/s20185342</t>
  </si>
  <si>
    <t>sensors-20-06330.pdf</t>
  </si>
  <si>
    <t>Motion Inference Using Sparse Inertial Sensors, Self-Supervised Learning, and a New Dataset of Unscripted Human Motion</t>
  </si>
  <si>
    <t>Jack H. Geissinger, Alan T. Asbeck</t>
  </si>
  <si>
    <t>Virginia Tech Natural Motion Dataset</t>
  </si>
  <si>
    <t>XSens MVN Link (full-body IMU MoCap)</t>
  </si>
  <si>
    <t>17</t>
  </si>
  <si>
    <t>doi: 10.3390/s20216330</t>
  </si>
  <si>
    <t>Sitting, standing, walking, exercising (burpees, pushups), cleaning, campus activities</t>
  </si>
  <si>
    <t>https://doi.org/10.3390/s20216330</t>
  </si>
  <si>
    <t>sensors-21-00768.pdf</t>
  </si>
  <si>
    <t>Activity Recognition for Ambient Assisted Living with Videos, Inertial Units and Ambient Sensors</t>
  </si>
  <si>
    <t>Caetano Mazzoni Ranieri, Scott MacLeod, Mauro Dragone, Patricia Amancio Vargas, Roseli Aparecida Francelin Romero</t>
  </si>
  <si>
    <t>Multimodal AAL activity recognition dataset</t>
  </si>
  <si>
    <t>RGB video camera (RGBD), wearable IMU, ambient smart home sensors</t>
  </si>
  <si>
    <t>16</t>
  </si>
  <si>
    <t>https://doi.org/10.5061/dryad.v6wwpzgsj</t>
  </si>
  <si>
    <t>Making tea, preparing sandwich/cereals, setting table, using laptop, manipulating cell phone, reading newspaper, washing dishes, cleaning kitchen (HWU-USP 9 home ADL)</t>
  </si>
  <si>
    <t>Dryad</t>
  </si>
  <si>
    <t>sensors-21-08294.pdf</t>
  </si>
  <si>
    <t>Feature Fusion of a Deep-Learning Algorithm into Wearable Sensor Devices for Human Activity Recognition</t>
  </si>
  <si>
    <t>Chih-Ta Yen, Jia-Xian Liao, Yi-Kai Huang</t>
  </si>
  <si>
    <t>UCI HAR dataset (public)</t>
  </si>
  <si>
    <t>Wearable sensors (accelerometer, gyroscope)</t>
  </si>
  <si>
    <t>21</t>
  </si>
  <si>
    <t>Not applicable</t>
  </si>
  <si>
    <t>doi: 10.3390/s21248294</t>
  </si>
  <si>
    <t>Walking, walking upstairs, walking downstairs, sitting, standing, laying (6 ADL)</t>
  </si>
  <si>
    <t>https://doi.org/10.3390/s21248294</t>
  </si>
  <si>
    <t>sensors-21-08389.pdf</t>
  </si>
  <si>
    <t>Recognizing Full-Body Exercise Execution Errors Using the Teslasuit</t>
  </si>
  <si>
    <t>Polona Caserman, Clemens Krug, Stefan Göbel</t>
  </si>
  <si>
    <t>Teslasuit exercise dataset</t>
  </si>
  <si>
    <t>Teslasuit (full-body haptic/motion suit with IMU)</t>
  </si>
  <si>
    <t>doi: 10.3390/s21248389</t>
  </si>
  <si>
    <t>Squats, lunges, push-ups (exercise execution error detection, Teslasuit 10-IMU suit)</t>
  </si>
  <si>
    <t>https://doi.org/10.3390/s21248389</t>
  </si>
  <si>
    <t>sensors-23-08354.pdf</t>
  </si>
  <si>
    <t>CARRT—Motion Capture Data for Robotic Human Upper Body Model</t>
  </si>
  <si>
    <t>Urvish Trivedi, Redwan Alqasemi, Rajiv Dubey</t>
  </si>
  <si>
    <t>CARRT dataset</t>
  </si>
  <si>
    <t>Vicon MoCap (8 cameras), reflective markers</t>
  </si>
  <si>
    <t>4M/6F</t>
  </si>
  <si>
    <t>004898</t>
  </si>
  <si>
    <t>https://doi.org/10.3390/s23208354</t>
  </si>
  <si>
    <t>ADL: brushing hair, drinking from cup, opening lower/upper cabinet, picking up box/duster/water jug, pouring; ROM: 8 upper-body tasks</t>
  </si>
  <si>
    <t>https://doi.org/10.5281/zenodo.8034000</t>
  </si>
  <si>
    <t>sensors-25-04750.pdf</t>
  </si>
  <si>
    <t>Lightweight Vision Transformer for Frame-Level Ergonomic Posture Classification in Industrial Workflows</t>
  </si>
  <si>
    <t>Luca Cruciata, Salvatore Contino, Marianna Ciccarelli, Roberto Pirrone, Leonardo Mostarda, Alessandra Papetti, Marco Piangerelli</t>
  </si>
  <si>
    <t>Industrial ergonomics posture dataset</t>
  </si>
  <si>
    <t>RGB video camera, full-body inertial MoCap</t>
  </si>
  <si>
    <t>Industrial workers / healthy adults</t>
  </si>
  <si>
    <t>doi: 10.3390/s25154750</t>
  </si>
  <si>
    <t>Manual material handling, awkward postures, neck/upper limb movements (occupational ergonomics)</t>
  </si>
  <si>
    <t>https://doi.org/10.3390/s25154750</t>
  </si>
  <si>
    <t>Google Scholar</t>
  </si>
  <si>
    <t>2023</t>
  </si>
  <si>
    <t>CARRT Dataset</t>
  </si>
  <si>
    <t>Motion capture (Vicon), OpenSim musculoskeletal model</t>
  </si>
  <si>
    <t>4M / 6F</t>
  </si>
  <si>
    <t>9 daily living activities + 8 range-of-motion (ROM) activities; 340 total demonstrations (2 repetitions each)</t>
  </si>
  <si>
    <t>2504.14602v1.pdf</t>
  </si>
  <si>
    <t>K2MUSE: A Human Lower Limb Multimodal Dataset Under Diverse Conditions for Facilitating Rehabilitation Robotics</t>
  </si>
  <si>
    <t>Jiwei Li, Bi Zhang, Xiaowei Tan, Wanxin Chen, Zhaoyuan Liu, Juanjuan Zhang, Weiguang Huo, Jian Huang, Lianqing Liu, Xingang Zhao</t>
  </si>
  <si>
    <t>arXiv preprint (cs.RO)</t>
  </si>
  <si>
    <t>2025</t>
  </si>
  <si>
    <t>K2MUSE</t>
  </si>
  <si>
    <t>Motion capture (Vicon), Instrumented treadmill with force plates, sEMG (13 muscles bilateral lower limbs), A-mode Ultrasound</t>
  </si>
  <si>
    <t>30</t>
  </si>
  <si>
    <t>Healthy able-bodied adults</t>
  </si>
  <si>
    <t>2023-MSLH-117 (Shenyang Institute of Automation / People's Hospital of Liaoning Province, China)</t>
  </si>
  <si>
    <t>https://k2muse.github.io/</t>
  </si>
  <si>
    <t>Walking at 3 inclinations (0°, ±5°, ±10°) and 3 speeds (0.5, 1.0, 1.5 m/s); nonideal conditions: muscle fatigue, electrode shifts, inter-day differences</t>
  </si>
  <si>
    <t>ULtRa-MoCap: A Multimodal IMU and sEMG Dataset for Upper Body Joint Kinematics Analysis</t>
  </si>
  <si>
    <t>Oliver Fritsche, Steven Camacho, Md Sanzid Bin Hossain, Tyler Halfpenny, Carlos Arciniegas, Joseph Dranetz, Dexter Hadley, Zhishan Guo, Hwan Choi</t>
  </si>
  <si>
    <t>2026</t>
  </si>
  <si>
    <t>ULtRa-MoCap</t>
  </si>
  <si>
    <t>IMU (hand, wrist, forearm), sEMG (biceps, triceps, deltoid), Motion capture</t>
  </si>
  <si>
    <t>Healthy adults (mean 24.4 yrs)</t>
  </si>
  <si>
    <t>10M / 3F</t>
  </si>
  <si>
    <t>5 upper limb movements at different speeds: elbow flexion, shoulder abduction/flexion/rotation, multi-joint coordinated movements</t>
  </si>
  <si>
    <t>s41597-025-04818-y.pdf</t>
  </si>
  <si>
    <t>A Full-Body IMU-Based Motion Dataset of Daily Tasks by Older and Younger Adults (CeTI-Age-Kinematics)</t>
  </si>
  <si>
    <t>Loreen Pogrzeba, Evelyn Muschter, Simon Hanisch, Veronica Y. P. Wardhani, Thorsten Strufe, Frank H. P. Fitzek, Shu-Chen Li</t>
  </si>
  <si>
    <t>CeTI-Age-Kinematics</t>
  </si>
  <si>
    <t>IMU (full-body sensor suit and gloves — XSens or similar)</t>
  </si>
  <si>
    <t>Older adults (66–75 yrs) and younger adults (19–28 yrs)</t>
  </si>
  <si>
    <t>15M / 17F</t>
  </si>
  <si>
    <t>30 common elemental daily tasks in 9 categories (simulated interactions with imaginary objects: e.g., drinking, writing, reaching, turning, walking, picking up objects)</t>
  </si>
  <si>
    <t>README.rtf</t>
  </si>
  <si>
    <t>Jack Geissinger, Alan Asbeck, Mohammad Mehdi Alemi, S. Emily Chang</t>
  </si>
  <si>
    <t>Dataset (Virginia Tech)</t>
  </si>
  <si>
    <t>VT Natural Motion Dataset</t>
  </si>
  <si>
    <t>IMU full-body suit (XSens MVN Link)</t>
  </si>
  <si>
    <t>Healthy adults (13 on campus + 4 at home improvement store)</t>
  </si>
  <si>
    <t>https://github.com/ARLab-VT/VT-Natural-Motion-Processing</t>
  </si>
  <si>
    <t>40 hours of unscripted natural motion: walking, operating machinery, talking, manipulating objects, working at a desk, driving, eating, pushing/pulling carts and dollies</t>
  </si>
  <si>
    <t>1-s2.0-S001048252401028X-main.pdf</t>
  </si>
  <si>
    <t>Synthetic 3D Full-Body Skeletal Motion from 2D Paths Using RNN with LSTM Cells and Linear Networks</t>
  </si>
  <si>
    <t>David Carneros-Prado, Cosmin C. Dobrescu, Luis Cabañero, Laura Villa, Yulith V. Altamirano-Flores, Irvin Hussein Lopez-Nava, Iván González, Jesús Fontecha, Ramón Hervás</t>
  </si>
  <si>
    <t>Computers in Biology and Medicine</t>
  </si>
  <si>
    <t>2024</t>
  </si>
  <si>
    <t>Full-Body 3D Human Gait Dataset</t>
  </si>
  <si>
    <t>IMU (XSens MTw Awinda wearable sensors), Motion capture</t>
  </si>
  <si>
    <t>Healthy adults (mean 28.19 yrs)</t>
  </si>
  <si>
    <t>10M / 16F</t>
  </si>
  <si>
    <t>https://doi.org/10.5281/zenodo.12818935</t>
  </si>
  <si>
    <t>Walking on flat ground (gait data used to train RNN for synthetic gait generation)</t>
  </si>
  <si>
    <t>1-s2.0-S187705092402581X-main.pdf</t>
  </si>
  <si>
    <t>Democratizing Clinical Movement Analysis: Assessing the Versatility of MoJoXlab with Open-Protocol Inertial Sensors</t>
  </si>
  <si>
    <t>Riasat Islam, Mohamed Bennasar, Mohammad Al-Amri, Simon Holland, Paul Mulholland, Blaine Price</t>
  </si>
  <si>
    <t>Procedia Computer Science (KES 2024)</t>
  </si>
  <si>
    <t>Not specified</t>
  </si>
  <si>
    <t>IMU (open-protocol inertial sensors)</t>
  </si>
  <si>
    <t>Healthy adults and clinical patients</t>
  </si>
  <si>
    <t>HREC/2019/3237/Bennasar (Open University Human Research Ethics Committee)</t>
  </si>
  <si>
    <t>https://doi.org/10.21954/ou.rd.c.6607120</t>
  </si>
  <si>
    <t>Clinical movement analysis tasks: hip/knee/ankle joint ROM movements, walking, balance assessments</t>
  </si>
  <si>
    <t>OU Research</t>
  </si>
  <si>
    <t>Transradial_Amputee_Reaching_Compensatory_Motion_Quantification_Versus_Unaffected_Individuals_Including_Bracing.pdf</t>
  </si>
  <si>
    <t>Transradial Amputee Reaching: Compensatory Motion Quantification Versus Unaffected Individuals Including Bracing</t>
  </si>
  <si>
    <t>Adam J. Spiers, Yuri Gloumakov, Aaron M. Dollar</t>
  </si>
  <si>
    <t>IEEE Transactions on Medical Robotics and Bionics</t>
  </si>
  <si>
    <t>Motion capture (marker-based)</t>
  </si>
  <si>
    <t>Transradial amputees (2) and able-bodied (7)</t>
  </si>
  <si>
    <t>5M / 4F</t>
  </si>
  <si>
    <t>#HSC 1610018511</t>
  </si>
  <si>
    <t>https://doi.org/10.1109/TMRB.2024.3381339</t>
  </si>
  <si>
    <t>Grasping 49 equally-spaced cylindrical targets across planar workspace; reaching with and without wrist braces (2450 trajectories)</t>
  </si>
  <si>
    <t>s41597-023-01932-7.pdf</t>
  </si>
  <si>
    <t>Non-Laboratory Gait Dataset</t>
  </si>
  <si>
    <t>IMU (full-body wearable MoCap), Eye tracker</t>
  </si>
  <si>
    <t>College students (3 cohorts: MF, OA, UD)</t>
  </si>
  <si>
    <t>approx. 22M / 22F</t>
  </si>
  <si>
    <t>STUDY00004707 (Univ. of Washington IRB)</t>
  </si>
  <si>
    <t>Walking with/without stops, stair ambulation, obstacle course navigation, dynamic agility movements, negotiating obstacles in public spaces (chairs, doors); 24.2 hours total</t>
  </si>
  <si>
    <t>s41597-022-01638-2.pdf</t>
  </si>
  <si>
    <t>A Multi-Sensor Human Gait Dataset Captured Through an Optical System and Inertial Measurement Units</t>
  </si>
  <si>
    <t>Geise Santos, Marcelo Wanderley, Tiago Tavares, Anderson Rocha</t>
  </si>
  <si>
    <t>2022</t>
  </si>
  <si>
    <t>Multi-sensor gait dataset</t>
  </si>
  <si>
    <t>IMU (smartphone + custom IMU device, leg-mounted), Motion capture (42 reflective markers)</t>
  </si>
  <si>
    <t>25</t>
  </si>
  <si>
    <t>Healthy adults (18–47 yrs)</t>
  </si>
  <si>
    <t>approx. 13M / 12F</t>
  </si>
  <si>
    <t>https://doi.org/10.1038/s41597-022-01638-2</t>
  </si>
  <si>
    <t>Walking on straight-level walkway at normal pace (10 trials per participant, 2 sessions)</t>
  </si>
  <si>
    <t>journal.pone.0290564.pdf</t>
  </si>
  <si>
    <t>Emotion and Motion: Toward Emotion Recognition Based on Standing and Walking</t>
  </si>
  <si>
    <t>Hila Riemer, Joel V. Joseph, Angela Y. Lee, Raziel Riemer</t>
  </si>
  <si>
    <t>PLOS ONE</t>
  </si>
  <si>
    <t>Motion capture</t>
  </si>
  <si>
    <t>24</t>
  </si>
  <si>
    <t>Healthy adults (students)</t>
  </si>
  <si>
    <t>10M / 14F</t>
  </si>
  <si>
    <t>IRB #HR20122012</t>
  </si>
  <si>
    <t>https://doi.org/10.1371/journal.pone.0290564</t>
  </si>
  <si>
    <t>Standing and walking in 5 emotional conditions (happiness, relaxation, fear, sadness, neutral) induced by movies</t>
  </si>
  <si>
    <t>14.docx</t>
  </si>
  <si>
    <t>Segmented and Tagged Videos and Human Kinematics Data from Synchronized Cameras While Performing Activities of Daily Living in a Home Environment</t>
  </si>
  <si>
    <t>Dataset (Zenodo)</t>
  </si>
  <si>
    <t>ADL kitchen dataset</t>
  </si>
  <si>
    <t>Camera (multi-angle), MediaPipe, YOLOv8 (skeletal pose)</t>
  </si>
  <si>
    <t>https://doi.org/10.5281/zenodo.15642257</t>
  </si>
  <si>
    <t>ADL in simulated functional kitchen: laundry, breakfast preparation, and other daily tasks</t>
  </si>
  <si>
    <t>https://zenodo.org/records/15642257</t>
  </si>
  <si>
    <t>A Public Data Set of Walking Full-Body Kinematics and Kinetics in Individuals with Parkinson's Disease</t>
  </si>
  <si>
    <t>Shida TKF, Costa TM, de Oliveira CEN, de Castro Treza R, Hondo SM, Los Angeles E, Bernardo C, dos Santos de Oliveira L, de Jesus Carvalho M, Coelho DB</t>
  </si>
  <si>
    <t>Parkinson's walking dataset</t>
  </si>
  <si>
    <t>Motion capture (full-body kinematics), Force plates</t>
  </si>
  <si>
    <t>6F / 20M</t>
  </si>
  <si>
    <t>Walking overground — full-body kinematics and kinetics (Parkinson's disease, ON/OFF medication)</t>
  </si>
  <si>
    <t>1-s2.0-S2352340920314323-main.pdf</t>
  </si>
  <si>
    <t>Dataset for Gait Analysis and Assessment of Fall Risk for Older Adults</t>
  </si>
  <si>
    <t>2020</t>
  </si>
  <si>
    <t>Gait fall risk dataset</t>
  </si>
  <si>
    <t>IMU, Force plates</t>
  </si>
  <si>
    <t>Older adults (mean age 69.98 yrs)</t>
  </si>
  <si>
    <t>7M / 37F</t>
  </si>
  <si>
    <t>Ethics Committees of Escuela Colombiana de Ingeniería and Clínica Universidad de la Sabana</t>
  </si>
  <si>
    <t>Gait analysis: walking (POMA-G 7-item test), Short Physical Performance Battery (SPPB) tasks</t>
  </si>
  <si>
    <t>s41597-019-0124-4.pdf</t>
  </si>
  <si>
    <t>A Multimodal Dataset of Human Gait at Different Walking Speeds Established on Injury-Free Adult Participants</t>
  </si>
  <si>
    <t>2019</t>
  </si>
  <si>
    <t>Multimodal gait dataset</t>
  </si>
  <si>
    <t>Motion capture (52 reflective markers), Force plates, EMG</t>
  </si>
  <si>
    <t>Healthy adults (injury-free)</t>
  </si>
  <si>
    <t>26M / 24F</t>
  </si>
  <si>
    <t>Walking at 5 speeds: very slow (0–0.4 m/s), slow (0.4–0.8 m/s), moderate (0.8–1.2 m/s), self-selected, fast; 1143 trials total</t>
  </si>
  <si>
    <t>s41598-021-97749-8.pdf</t>
  </si>
  <si>
    <t>Human Cortical Dynamics During Full-Body Heading Changes</t>
  </si>
  <si>
    <t>Klaus Gramann, Friederike U. Hohlefeld, Lukas Gehrke, Marius Klug</t>
  </si>
  <si>
    <t>Scientific Reports</t>
  </si>
  <si>
    <t>2021</t>
  </si>
  <si>
    <t>Mobile Brain-Body Imaging (MoBI) dataset</t>
  </si>
  <si>
    <t>EEG, Motion capture, VR headset</t>
  </si>
  <si>
    <t>20 (19 analyzed)</t>
  </si>
  <si>
    <t>Healthy adults (mean 30.25 yrs, range 20–46)</t>
  </si>
  <si>
    <t>9M / 11F</t>
  </si>
  <si>
    <t>Technische Universität Berlin ethics committee</t>
  </si>
  <si>
    <t>https://doi.org/10.1038/s41598-021-97749-8</t>
  </si>
  <si>
    <t>Physical body rotation (varying velocities), visual flow rotation (VR-based heading direction task)</t>
  </si>
  <si>
    <t>24.docx</t>
  </si>
  <si>
    <t>A Multimodal Biomechanics and EMG Dataset of Drop Vertical Jump Under Virtual-Reality Visual Height Perturbations in Individuals With and Without Chronic Ankle Instability</t>
  </si>
  <si>
    <t>Wanli Zang, Jiarong Wu</t>
  </si>
  <si>
    <t>DVJ-VR Dataset</t>
  </si>
  <si>
    <t>Motion capture (38-marker Plug-in-Gait), Force plates, EMG (bilateral lower limb)</t>
  </si>
  <si>
    <t>28</t>
  </si>
  <si>
    <t>Chronic ankle instability (CAI) and healthy controls</t>
  </si>
  <si>
    <t>https://doi.org/10.5281/zenodo.18503500</t>
  </si>
  <si>
    <t>Drop vertical jump (DVJ) under 5 conditions: 1 real-world control (30 cm) and 4 VR visual height perturbations (0, 10, 30, 50 cm)</t>
  </si>
  <si>
    <t>10582486.pdf</t>
  </si>
  <si>
    <t>Kinematics, Kinetics, and Muscle Activations During Human Locomotion Over Compliant Terrains</t>
  </si>
  <si>
    <t>Charikleia Angelidou, Vaughn Chambers, Bradley Hobbs, Chrysostomos Karakasis, Panagiotis Artemiadis</t>
  </si>
  <si>
    <t>Compliant terrain gait dataset</t>
  </si>
  <si>
    <t>Motion capture, Force plates (Variable Stiffness Treadmill 2), EMG</t>
  </si>
  <si>
    <t>Healthy adults (mean 27.1 yrs)</t>
  </si>
  <si>
    <t>10M / 10F</t>
  </si>
  <si>
    <t>1544521-8</t>
  </si>
  <si>
    <t>https://doi.org/10.1038/s41597-025-04433-x</t>
  </si>
  <si>
    <t>Walking on terrains of varying compliance (simulating carpet, grass, soil) using VST 2 robotic treadmill</t>
  </si>
  <si>
    <t>2407.13425v1.pdf</t>
  </si>
  <si>
    <t>The Effects of Selected Object Features on a Pick-and-Place Task: A Human Multimodal Dataset</t>
  </si>
  <si>
    <t>Linda Lastrico, Valerio Belcamino, Alessandro Carfì, Alessia Vignolo, Alessandra Sciutti, Fulvio Mastrogiovanni, Francesco Rea</t>
  </si>
  <si>
    <t>SAGE preprint (arXiv)</t>
  </si>
  <si>
    <t>Pick-and-Place multimodal dataset</t>
  </si>
  <si>
    <t>Motion capture, Multi-camera, IMU (wrist-worn)</t>
  </si>
  <si>
    <t>Healthy adults (mean 28.6 yrs)</t>
  </si>
  <si>
    <t>8M / 7F</t>
  </si>
  <si>
    <t>396REG2016</t>
  </si>
  <si>
    <t>https://arxiv.org/abs/2407.13425</t>
  </si>
  <si>
    <t>Pick-and-place task (80 repetitions each, 1200 total); objects vary in weight and liquid filling</t>
  </si>
  <si>
    <t>arXiv</t>
  </si>
  <si>
    <t>journal.pone.0247364.pdf</t>
  </si>
  <si>
    <t>A Dataset of Human and Robot Approach Behaviors into Small Free-Standing Conversational Groups (CongreG8)</t>
  </si>
  <si>
    <t>Fangkai Yang, Yuan Gao, Ruiyang Ma, Sahba Zojaji, Ginevra Castellano, Christopher Peters</t>
  </si>
  <si>
    <t>CongreG8</t>
  </si>
  <si>
    <t>Motion capture (full-body)</t>
  </si>
  <si>
    <t>Healthy adults (22–35 yrs)</t>
  </si>
  <si>
    <t>13M / 27F</t>
  </si>
  <si>
    <t>Swedish Ethical Review Authority</t>
  </si>
  <si>
    <t>https://doi.org/10.1371/journal.pone.0247364</t>
  </si>
  <si>
    <t>Approach behaviors into 3-person free-standing conversational groups; full-body positioning, orienting and social interaction motions</t>
  </si>
  <si>
    <t>30.docx</t>
  </si>
  <si>
    <t>Kinematic, Kinetic, EMG and Pressure Data for Daily Life Locomotion Activities</t>
  </si>
  <si>
    <t>Robben Baetens, Tom Turcksin, Mia Loccufier, Amélie Chevalier, Tom Verstraten</t>
  </si>
  <si>
    <t>Dataset (figshare)</t>
  </si>
  <si>
    <t>Daily life locomotion dataset</t>
  </si>
  <si>
    <t>Motion capture (optical), Force plates (4), EMG (8 lower limb muscles), Pressure insoles with IMU</t>
  </si>
  <si>
    <t>Healthy adults (non-amputees)</t>
  </si>
  <si>
    <t>Ethics Committee of Vrije Universiteit Brussel (VUB)</t>
  </si>
  <si>
    <t>https://doi.org/10.25452/figshare.plus.30294658</t>
  </si>
  <si>
    <t>23 daily life locomotion activities: slow/normal/fast walking, jogging, backward walking, side-stepping, circle walking, turning on spot, stair ascent/descent (step-over-step and step-by-step), ramp ascent/descent, standing, sitting, sit-to-stand, stand-to-sit, squatting, calf raises, free knee/ankle flexion-extension</t>
  </si>
  <si>
    <t>s41597-025-04695-5.pdf</t>
  </si>
  <si>
    <t>Open Dataset of Kinetics, Kinematics, and Electromyography of Above-Knee Amputees During Stand-Up and Sit-Down</t>
  </si>
  <si>
    <t>Amputee sit-to-stand dataset</t>
  </si>
  <si>
    <t>Motion capture (12-camera), Force plates (2), EMG (4 sensors, intact lower limb)</t>
  </si>
  <si>
    <t>6M / 3F</t>
  </si>
  <si>
    <t>IRB 00103197 (University of Utah)</t>
  </si>
  <si>
    <t>Stand-up and sit-down movements with passive and microprocessor-controlled prostheses</t>
  </si>
  <si>
    <t>data-07-00136.pdf</t>
  </si>
  <si>
    <t>Full-Body Mobility Data to Validate Inertial Measurement Unit Algorithms in Healthy and Neurological Cohorts</t>
  </si>
  <si>
    <t>Elke Warmerdam, Clint Hansen, Robbin Romijnders, Markus A. Hobert, Julius Welzel, Walter Maetzler</t>
  </si>
  <si>
    <t>Data (MDPI)</t>
  </si>
  <si>
    <t>Full-body mobility IMU dataset</t>
  </si>
  <si>
    <t>IMU (full-body wearable)</t>
  </si>
  <si>
    <t>167 (21 open-access)</t>
  </si>
  <si>
    <t>Healthy adults and neurological patients (Parkinson's, other)</t>
  </si>
  <si>
    <t>approx. 97M / 70F (58% male across all groups)</t>
  </si>
  <si>
    <t>D438/18 (Medical Faculty Kiel University)</t>
  </si>
  <si>
    <t>https://doi.org/10.3390/data7100136</t>
  </si>
  <si>
    <t>Full-body mobility tasks: walking, turning, sit-to-stand, balance tasks (healthy and Parkinson's/other neurological cohorts)</t>
  </si>
  <si>
    <t>Descending 13 Real World Steps: A Dataset and Analysis of Stair Descent</t>
  </si>
  <si>
    <t>Astrini Sie, Maxim Karrenbäch, Charlie Fisher, Shawn Fisher, Nathaniel Wieck, Callysta Caraballo, Elisabeth Case, David Boe, Brittney Muir, Eric Rombokas</t>
  </si>
  <si>
    <t>IMU (wearable), Camera</t>
  </si>
  <si>
    <t>Healthy young adults (18–35 yrs)</t>
  </si>
  <si>
    <t>54M / 47F</t>
  </si>
  <si>
    <t>IRB approved</t>
  </si>
  <si>
    <t>Descending 13 real-world steps outside laboratory — unconstrained stair descent</t>
  </si>
  <si>
    <t>s41597-025-05391-0.pdf</t>
  </si>
  <si>
    <t>Comprehensive Human Locomotion and Electromyography Dataset: Gait120</t>
  </si>
  <si>
    <t>Motion capture (optical), Force plates, EMG (right lower limb)</t>
  </si>
  <si>
    <t>Healthy males (20–59 yrs)</t>
  </si>
  <si>
    <t>120M / 0F</t>
  </si>
  <si>
    <t>7 tasks: level walking, stair ascent, stair descent, slope ascent, slope descent, sit-to-stand, stand-to-sit (6882 movement cycles)</t>
  </si>
  <si>
    <t>s41597-025-06535-y.pdf</t>
  </si>
  <si>
    <t>A Full-Body Motion Capture Gait Dataset of Healthy Young Adults Walking Ramps Up and Down</t>
  </si>
  <si>
    <t>Johanna Vielemeyer, Lisa Tronicke, Lucas Schreff, Rainer Abel, Knut Lechler, Roy Müller</t>
  </si>
  <si>
    <t>Ramp walking gait dataset</t>
  </si>
  <si>
    <t>Motion capture (Vicon, 10 infrared cameras), Force plates (3), Video (2 cameras)</t>
  </si>
  <si>
    <t>Healthy young adults (mean age 28.2 yrs)</t>
  </si>
  <si>
    <t>5F / 8M</t>
  </si>
  <si>
    <t>5368-12/17 (Univ. of Jena ethics committee)</t>
  </si>
  <si>
    <t>https://doi.org/10.1038/s41597-025-06535-y</t>
  </si>
  <si>
    <t>Ramp walking up and down at 3 inclinations (0°, 7.5°, 10°) at self-selected speeds</t>
  </si>
  <si>
    <t>file.pdf</t>
  </si>
  <si>
    <t>Transhumeral Loading During Advanced Upper Extremity Activities of Daily Living</t>
  </si>
  <si>
    <t>Alex J. Drew, Morgan T. Izykowski, Kent N. Bachus, Heath B. Henninger, K. Bo Foreman</t>
  </si>
  <si>
    <t>2017</t>
  </si>
  <si>
    <t>Motion capture (Vicon 10-camera), Inverse dynamics</t>
  </si>
  <si>
    <t>Healthy non-amputee volunteers (median 28 yrs, range 19–56)</t>
  </si>
  <si>
    <t>20M / 20F</t>
  </si>
  <si>
    <t>IRB 00089237 (University of Utah)</t>
  </si>
  <si>
    <t>https://doi.org/10.5281/zenodo.1040453</t>
  </si>
  <si>
    <t>7 AADLs: elbow fall, underhand toss, jogging, briefcase carry (4.5 kg), internal rotation, jug lift (1 gallon), jumping jacks</t>
  </si>
  <si>
    <t>s41597-020-00627-7.pdf</t>
  </si>
  <si>
    <t>An Asian-Centric Human Movement Database Capturing Activities of Daily Living</t>
  </si>
  <si>
    <t>Motion capture (Qualisys), Force plates, Instrumented table and chair</t>
  </si>
  <si>
    <t>Healthy Asian adults</t>
  </si>
  <si>
    <t>IRB-2018-04-014 (NTU)</t>
  </si>
  <si>
    <t>12 ADL tasks: walking, chair sit-to-stand, stepping up/down, reaching, stair climbing, and other functional daily activities</t>
  </si>
  <si>
    <t>s41597-024-04011-7.pdf</t>
  </si>
  <si>
    <t>A Biomechanical Dataset of 1,798 Healthy and Injured Subjects During Treadmill Walking and Running</t>
  </si>
  <si>
    <t>Reed Ferber, Allan Brett, Reginaldo K. Fukuchi, Blayne Hettinga, Sean T. Osis</t>
  </si>
  <si>
    <t>Running Injury Clinic dataset</t>
  </si>
  <si>
    <t>Motion capture (marker trajectory), Treadmill</t>
  </si>
  <si>
    <t>1798</t>
  </si>
  <si>
    <t>Healthy and injured adults (young and older)</t>
  </si>
  <si>
    <t>E-21705 (Univ. of Calgary CHREC)</t>
  </si>
  <si>
    <t>https://doi.org/10.1038/s41597-024-04011-7</t>
  </si>
  <si>
    <t>Treadmill walking and/or running at a range of gait speeds</t>
  </si>
  <si>
    <t>s41597-021-00881-3.pdf</t>
  </si>
  <si>
    <t>Lower Limb Kinematic, Kinetic, and EMG Data from Young Healthy Humans During Walking at Controlled Speeds</t>
  </si>
  <si>
    <t>Luís Moreira, Joana Figueiredo, Pedro Fonseca, João P. Vilas-Boas, Cristina P. Santos</t>
  </si>
  <si>
    <t>Lower limb walking EMG dataset</t>
  </si>
  <si>
    <t>Motion capture (24 reflective markers), Force plates, EMG (4 muscles: Tibialis Anterior, Gastrocnemius Lateralis, Biceps Femoris, Vastus Lateralis)</t>
  </si>
  <si>
    <t>8M / 8F</t>
  </si>
  <si>
    <t>https://doi.org/10.1038/s41597-021-00881-3</t>
  </si>
  <si>
    <t>Walking on 10 m flat surface at 7 controlled speeds: 1.0, 1.5, 2.0, 2.5, 3.0, 3.5, 4.0 km/h</t>
  </si>
  <si>
    <t>https://doi.org/10.6084/m9.figshare.c.4923162</t>
  </si>
  <si>
    <t>journal.pone.0249577.pdf</t>
  </si>
  <si>
    <t>Error-State Kalman Filter for Lower-Limb Kinematic Estimation: Evaluation on a 3-Body Model</t>
  </si>
  <si>
    <t>Michael V. Potter, Stephen M. Cain, Lauro V. Ojeda, Reed D. Gurchiek, Ryan S. McGinnis, Noel C. Perkins</t>
  </si>
  <si>
    <t>IMU (body-worn), Motion capture (optical, for validation)</t>
  </si>
  <si>
    <t>https://doi.org/10.1371/journal.pone.0249577</t>
  </si>
  <si>
    <t>Walking — lower-limb kinematics estimation (pelvis and two legs, 3-body model)</t>
  </si>
  <si>
    <t>s41597-022-01817-1.pdf</t>
  </si>
  <si>
    <t>A Biomechanics Dataset of Healthy Human Walking at Various Speeds, Step Lengths and Step Widths</t>
  </si>
  <si>
    <t>Tim J. van der Zee, Emily M. Mundinger, Arthur D. Kuo</t>
  </si>
  <si>
    <t>Walking biomechanics dataset</t>
  </si>
  <si>
    <t>Motion capture (full-body), Split-belt instrumented treadmill</t>
  </si>
  <si>
    <t>Healthy young adults (mean 23.5 yrs)</t>
  </si>
  <si>
    <t>IRB approved (University of Michigan)</t>
  </si>
  <si>
    <t>https://doi.org/10.1038/s41597-022-01817-1</t>
  </si>
  <si>
    <t>Walking at 33 combinations of speed (0.7–2.0 m/s), step length (0.5–1.1 m), and step width (0–0.4 m)</t>
  </si>
  <si>
    <t>https://doi.org/10.6084/m9.figshare.c.5897423.v1</t>
  </si>
  <si>
    <t>ACASS</t>
  </si>
  <si>
    <t>Motion capture (animation stimuli)</t>
  </si>
  <si>
    <t>Healthy adults (motion capture performers)</t>
  </si>
  <si>
    <t>6 everyday activities (mopping, sweeping, painting with roller, painting with brush, wiping, sanding) × 3 moods (angry, happy, sad) = 792 animation clips; used as emotion perception stimuli</t>
  </si>
  <si>
    <t>fbioe-13-1655295.pdf</t>
  </si>
  <si>
    <t>A Motion Capture Protocol for the Kinematic Analysis of Transfemoral and Transtibial Sprinters</t>
  </si>
  <si>
    <t>Roberto Di Marco, Samira G. Breban, Giuseppe Zullo, Francesca Gariboldi, Mattia Scapinello, Gian Luca Migliore, Nicola Petrone, Andrea G. Cutti</t>
  </si>
  <si>
    <t>2</t>
  </si>
  <si>
    <t>Paralympic sprinters (1 transfemoral, 1 transtibial amputee)</t>
  </si>
  <si>
    <t>1F / 1M (TF=female, TT=male)</t>
  </si>
  <si>
    <t>Waived (Comitato Etico Area Vasta)</t>
  </si>
  <si>
    <t>https://doi.org/10.3389/fbioe.2025.1655295</t>
  </si>
  <si>
    <t>Sprint running — kinematic analysis of Paralympic sprinters with prostheses</t>
  </si>
  <si>
    <t>fbioe-09-769117.pdf</t>
  </si>
  <si>
    <t>From Stoop to Squat: A Comprehensive Analysis of Lumbar Loading Among Different Lifting Styles</t>
  </si>
  <si>
    <t>Michael von Arx, Melanie Liechti, Lukas Connolly, Christian Bangerter, Michael L. Meier, Stefan Schmid</t>
  </si>
  <si>
    <t>Motion capture (16-camera optical), Musculoskeletal model</t>
  </si>
  <si>
    <t>Healthy adults (pain-free)</t>
  </si>
  <si>
    <t>20M / 10F</t>
  </si>
  <si>
    <t>Req-2020-00364 (Kantonale Ethikkommission Bern)</t>
  </si>
  <si>
    <t>https://doi.org/10.3389/fbioe.2021.769117</t>
  </si>
  <si>
    <t>Lifting a 15 kg box using 3 techniques: freestyle, squat lift, stoop lift</t>
  </si>
  <si>
    <t>fbioe-13-1653751.pdf</t>
  </si>
  <si>
    <t>Effects of Lower Limb Biomechanical Characteristics on Jump Performance in Female Volleyball Players Based on Long Stretch-Shortening Cycle Movements</t>
  </si>
  <si>
    <t>Beiwang Deng, Yueming Li, Gesheng Lin, Ruixiang Yan, Jianxin He, Duanying Li, Jian Sun</t>
  </si>
  <si>
    <t>Motion capture (3D, marker-based)</t>
  </si>
  <si>
    <t>Female volleyball players (trained)</t>
  </si>
  <si>
    <t>0M / 18F</t>
  </si>
  <si>
    <t>2024LCLL-116</t>
  </si>
  <si>
    <t>https://doi.org/10.3389/fbioe.2025.1653751</t>
  </si>
  <si>
    <t>Depth jumps — maximal-effort under long stretch-shortening cycle (SSC) conditions (ground contact time ≥ 222 ms)</t>
  </si>
  <si>
    <t>MoCap and IMU Dataset for Upper Limb Joint Angle Estimation</t>
  </si>
  <si>
    <t>Kevin Niño-Tejada, Laura Saldaña-Aristizabal, Jhonathan L. Rivas-Caicedo, Juan F. Patarroyo-Montenegro (University of Puerto Rico-Mayaguez)</t>
  </si>
  <si>
    <t>Zenodo (repository)</t>
  </si>
  <si>
    <t>MoCap-IMU Upper Limb Joint Angle Dataset</t>
  </si>
  <si>
    <t>2 IMUs (Mbientlab MetaMotionRL — wrist &amp; chest; accelerometer 50 Hz, gyroscope 50 Hz, quaternions 100→50 Hz), OptiTrack motion capture (50 Hz)</t>
  </si>
  <si>
    <t>1 subject, 6 recording sessions</t>
  </si>
  <si>
    <t>Healthy adult</t>
  </si>
  <si>
    <t>Arm flexions, shoulder raises, combined elbow–shoulder motion</t>
  </si>
  <si>
    <t>https://doi.org/10.5281/zenodo.15778950</t>
  </si>
  <si>
    <t>1-s2.0-S0021929023002725-main.pdf</t>
  </si>
  <si>
    <t>Stepping Strategies of Young Adults Undergoing Sudden External Perturbation From Different Directions</t>
  </si>
  <si>
    <t>Thomas Chatagnon, Anne-Hélène Olivier, Ludovic Hoyet, Julien Pettré, Charles Pontonnier (INRIA / Univ. Rennes)</t>
  </si>
  <si>
    <t>DeCIMo</t>
  </si>
  <si>
    <t>Motion capture (23 Qualisys cameras, 200 Hz), 45 reflective markers, force sensor (HBK U9C 0.5 kN)</t>
  </si>
  <si>
    <t>Healthy young adults; age 20–38, mean 27.2±4.2 yrs</t>
  </si>
  <si>
    <t>Quiet standing; balance recovery after external perturbation at shoulder height (5 angles × 3 intensity levels × 2 reps; sensory-impaired and normal-vision conditions)</t>
  </si>
  <si>
    <t>No separate data repository identified. Available via corresponding author request (J. Biomechanics 2023, doi: 10.1016/j.jbiomech.2023.111703)</t>
  </si>
  <si>
    <t>CARRT — Motion Capture Data for Robotic Human Upper Body Model</t>
  </si>
  <si>
    <t>Urvish Trivedi, Redwan Alqasemi, Rajiv Dubey (University of South Florida)</t>
  </si>
  <si>
    <t>CARRT</t>
  </si>
  <si>
    <t>Vicon motion capture (8 cameras, 43 reflective markers); raw .c3d + .trc; OpenSim post-processing</t>
  </si>
  <si>
    <t>Healthy adults; age mean 28 yrs (SD 8.56); height mean 164 cm; weight mean 66 kg</t>
  </si>
  <si>
    <t>ADL (9): brushing hair, drinking from cup, opening lower cabinet, opening upper cabinet, picking up box, picking up duster and cleaning, picking up empty water jug, picking up full water jug, picking up water jug and pouring; ROM (8): upper-body range-of-motion tasks</t>
  </si>
  <si>
    <t>Synthetic 3D Full-Body Skeletal Motion from 2D Paths Using RNN with LSTM Cells</t>
  </si>
  <si>
    <t>Synthetic Gait Skeleton Dataset</t>
  </si>
  <si>
    <t>Xsens Awinda MTw full-body IMU system (17 wireless MTw sensors, 60 Hz, MVN Analyze software); synthetic data generated via RNN + MLP</t>
  </si>
  <si>
    <t>Healthy adults (gait analysis for training generative model); age 28.19 ± 7.77 yrs</t>
  </si>
  <si>
    <t>Walking (overground gait — used to train synthetic skeleton generator)</t>
  </si>
  <si>
    <t>https://zenodo.org/records/12818935</t>
  </si>
  <si>
    <t>ADL Videos Dataset — Activities of Daily Living in a Functional Kitchen (Just Move!)</t>
  </si>
  <si>
    <t>MAmI Research Lab (Just Move I+D Research Project; MCIN/AEI; EU NextGenerationEU/PRTR)</t>
  </si>
  <si>
    <t>Just Move! ADL Kitchen Video Dataset</t>
  </si>
  <si>
    <t>Multi-angle camera/video; MediaPipe skeletal pose estimation; YOLOv8 object detection</t>
  </si>
  <si>
    <t>Healthy adults; ADL tasks in functional kitchen (occupational housing)</t>
  </si>
  <si>
    <t>Laundry, breakfast preparation, and other activities of daily living (multi-camera, multiple angles per activity)</t>
  </si>
  <si>
    <t>sensors-21-00768-v2.pdf</t>
  </si>
  <si>
    <t>HWU-USP Multimodal Human Activities Dataset</t>
  </si>
  <si>
    <t>Caetano M Ranieri, Scott MacLeod, Mauro Dragone, Patricia A Vargas, Roseli A F Romero (Heriot-Watt University; University of São Paulo)</t>
  </si>
  <si>
    <t>HWU-USP-MHAD</t>
  </si>
  <si>
    <t>IMU (wrist + waist), RGB video + depth video (TIAGo robot), ambient sensors (cabinet switches, current sensors, presence detectors); synchronized</t>
  </si>
  <si>
    <t>Healthy adults; no physical/cognitive disabilities; kitchen ADL context</t>
  </si>
  <si>
    <t>Making tea, making a sandwich, making a bowl of cereals, setting the table, using a laptop, using a phone, reading a newspaper, cleaning the dishes, tidying the kitchen (9 ADL; single repetition each)</t>
  </si>
  <si>
    <t>Knee Joint Loading Prediction from Gait Data (merged: Schreiber, Fukuchi, Horst, Camargo)</t>
  </si>
  <si>
    <t>Jere Joonatan Lavikainen, Lauri Stenroth (University of Eastern Finland)</t>
  </si>
  <si>
    <t>Annals of Biomedical Engineering (paper); Zenodo (repository)</t>
  </si>
  <si>
    <t>Knee Joint Loading Gait Dataset</t>
  </si>
  <si>
    <t>Motion capture, force plates, reflective markers (4 merged open datasets); OpenSim musculoskeletal simulation</t>
  </si>
  <si>
    <t>166</t>
  </si>
  <si>
    <t>Healthy adults; overground walking; ~2900 trials (multiple per subject)</t>
  </si>
  <si>
    <t>Overground walking at various speeds</t>
  </si>
  <si>
    <t>https://zenodo.org/records/7253458</t>
  </si>
  <si>
    <t>2506.01608v2.pdf</t>
  </si>
  <si>
    <t>EPFL-Smart-Kitchen-30: Densely Annotated Cooking Dataset with 3D Kinematics (Word descriptor)</t>
  </si>
  <si>
    <t>Andy Bonnetto, Haozhe Qi, Franklin Leong, Matea Tashkovska, Mahdi Rad, Solaiman Shokur, Friedhelm Hummel, Silvestro Micera, Marc Pollefeys, Alexander Mathis (EPFL; Microsoft; Sant'Anna; ETH Zurich)</t>
  </si>
  <si>
    <t>arXiv / Zenodo</t>
  </si>
  <si>
    <t>EPFL-Smart-Kitchen-30</t>
  </si>
  <si>
    <t>8 IMUs (6 body + knife + spatula), 9 static RGB-D cameras (exocentric), HoloLens 2 (egocentric + eye gaze + hand pose); synchronized</t>
  </si>
  <si>
    <t>Healthy adults cooking 4 recipes; 29.7 h total; ages 20–46</t>
  </si>
  <si>
    <t>Cooking tasks (4 recipes): chopping, cleaning, stirring, pouring, and other kitchen manipulation activities; densely annotated at 33.78 action segments/min</t>
  </si>
  <si>
    <t>https://zenodo.org/records/15535461</t>
  </si>
  <si>
    <t>2026.04.22.718747v1.full.pdf</t>
  </si>
  <si>
    <t>MMH: A Multimodal Dataset of Whole-Body Kinematics, Bilateral GRF, and Lower-Limb sEMG During Load Lifting and Lowering</t>
  </si>
  <si>
    <t>Mahdi Mohseni, Abdul Aziz Hulleck, Marwan El Rich, Navid Arjmand (Sharif University; Khalifa University)</t>
  </si>
  <si>
    <t>bioRxiv</t>
  </si>
  <si>
    <t>MMH Dataset</t>
  </si>
  <si>
    <t>Vicon motion capture (10 cameras, 120 Hz, 41 markers — extended Plug-in Gait), 2 Kistler force plates (1200 Hz, 3D GRF + 2D CoP), 12 Myon wireless sEMG sensors (bilaterally: tibialis anterior, medial/lateral gastrocnemius, rectus femoris, semitendinosus, vastus lateralis)</t>
  </si>
  <si>
    <t>Healthy normal-weight young males; age 24 ± 2 yrs; BMI 21.5 ± 2.3 kg/m²; 72 trials each</t>
  </si>
  <si>
    <t>Load lifting and lowering (2 kg): stoop technique, semi-squat technique, full-squat technique × one-handed and two-handed × multiple initial/final load locations (72 trials per subject)</t>
  </si>
  <si>
    <t>https://drive.google.com/file/d/1XfrAZPMvBjeB7FI-ciaypdKjU5urvlHk/view?usp=sharing</t>
  </si>
  <si>
    <t>Descriptor_Elderly_Human_Activity_Recognition_Dataset_ElderHAR.pdf</t>
  </si>
  <si>
    <t>ElderHAR: Elderly Human Activity Recognition Dataset</t>
  </si>
  <si>
    <t>Luís Martins, Nuno F. Ribeiro, João Cerqueira, Cristina P. Santos (University of Minho; IPCA; ICVS; LABBELS)</t>
  </si>
  <si>
    <t>IEEE DataPort / IEEE Data Descriptions</t>
  </si>
  <si>
    <t>ElderHAR</t>
  </si>
  <si>
    <t>Single waist-worn IMU (LSM6DSOX; tri-axial accelerometer + gyroscope at 50 Hz); &gt;2.6 million samples; labels via synchronized smartphone app</t>
  </si>
  <si>
    <t>Elderly adults across 6 care institutions; age mean 79.6±9.7 yrs; 23 fallers / 31 non-fallers; FAC&gt;3, MMSE&gt;15</t>
  </si>
  <si>
    <t>Walking, standing, sitting in a chair, laying in bed, walking upstairs, walking downstairs, picking objects from ground, reaching for objects at height, turning while walking/standing; transitions: sit-to-stand, stand-to-sit, lie-to-sit, sit-to-lie (9 locomotion activities + 4 transitions = 13 classes; continuous, unconstrained recording)</t>
  </si>
  <si>
    <t>https://doi.org/10.5281/zenodo.17191997</t>
  </si>
  <si>
    <t>Combined Final Included Datasets — Post Screening Summary</t>
  </si>
  <si>
    <t>Source</t>
  </si>
  <si>
    <t>Records Included</t>
  </si>
  <si>
    <t>Notes</t>
  </si>
  <si>
    <t>After R1 (17 excluded) + R2 (8 excluded) from 77 initial records</t>
  </si>
  <si>
    <t>After R1 (29 excluded) + R2 (1 excluded) from 66 initial records</t>
  </si>
  <si>
    <t xml:space="preserve">Zenodo </t>
  </si>
  <si>
    <t>After R1 (10 excluded) + R2 (0 excluded) from 21 initial records</t>
  </si>
  <si>
    <t>TOTAL</t>
  </si>
  <si>
    <t>Colour legend</t>
  </si>
  <si>
    <t>Blue rows</t>
  </si>
  <si>
    <t>PubMed sourced records</t>
  </si>
  <si>
    <t>Green rows</t>
  </si>
  <si>
    <t>Google Scholar sourced records</t>
  </si>
  <si>
    <t xml:space="preserve">Zenodo rows </t>
  </si>
  <si>
    <t>zenodo sourced records</t>
  </si>
  <si>
    <t>2 IMUs (Mbientlab MetaMotionRL  wrist &amp; chest; accelerometer 50 Hz, gyroscope 50 Hz, quaternions 100→50 Hz), OptiTrack motion capture (50 Hz)</t>
  </si>
  <si>
    <t>10F / 11M</t>
  </si>
  <si>
    <t>EudraCT: 2021-A01378-33</t>
  </si>
  <si>
    <t>https://doi.org/10.1016/j.jbiomech.2023.111703</t>
  </si>
  <si>
    <t>Not reported (merged datasets)</t>
  </si>
  <si>
    <t>https://doi.org/10.5281/zenodo.7253458</t>
  </si>
  <si>
    <t>https://doi.org/10.5281/zenodo.15535461</t>
  </si>
  <si>
    <t>10M / 0F</t>
  </si>
  <si>
    <t>https://doi.org/10.1101/2026.04.22.718747</t>
  </si>
  <si>
    <t>Google Drive</t>
  </si>
  <si>
    <t>Category</t>
  </si>
  <si>
    <t>Study ID</t>
  </si>
  <si>
    <t>Year</t>
  </si>
  <si>
    <t>Gait &amp; Locomotion</t>
  </si>
  <si>
    <t>81</t>
  </si>
  <si>
    <t>84</t>
  </si>
  <si>
    <t>A Full Body IMU Based Motion Dataset of Daily Tasks by Older and Younger Adults</t>
  </si>
  <si>
    <t>Loreen Pogrzeba, Evelyn Muschter, Simon Hanisch, Veronica Y.P. Wardhani, Thorsten Strufe, Frank H.P. Fitzek, Shu Chen Li</t>
  </si>
  <si>
    <t>Walking (normal, hurried), carrying, sit to stand (5RSTST), upper limb tasks, reaching/placing objects</t>
  </si>
  <si>
    <t>78</t>
  </si>
  <si>
    <t>A Full Body Motion Capture Gait Dataset of Healthy Young Adults Walking Ramps Up and Down</t>
  </si>
  <si>
    <t>Ramp walking up and down at 3 inclinations (0°, 7.5°, 10°) at self selected speeds</t>
  </si>
  <si>
    <t>86</t>
  </si>
  <si>
    <t>Sprint running  kinematic analysis of Paralympic sprinters with prostheses</t>
  </si>
  <si>
    <t>62</t>
  </si>
  <si>
    <t>A Multi Sensor Human Gait Dataset Captured Through an Optical System and Inertial Measurement Units</t>
  </si>
  <si>
    <t>Walking on straight level walkway at normal pace (10 trials per participant, 2 sessions)</t>
  </si>
  <si>
    <t>A Non Laboratory Gait Dataset of Full Body Kinematics and Egocentric Vision</t>
  </si>
  <si>
    <t>A human lower limb biomechanics and wearable sensors dataset during cyclic and non cyclic activities</t>
  </si>
  <si>
    <t>Walking, running, step over, sit to stand, turning, squats, lifting weight, jumping, posing, cutting, lunges, ball toss, step ups, curb jump</t>
  </si>
  <si>
    <t>A kinematic and kinetic dataset of 18 above knee amputees walking at various speeds</t>
  </si>
  <si>
    <t>Walking at various speeds (above knee amputees)</t>
  </si>
  <si>
    <t>A multimodal dataset of human gait at different walking speeds established on injury free adult participants</t>
  </si>
  <si>
    <t>Walking (10m straight, multiple speeds, kinematics/kinetics)</t>
  </si>
  <si>
    <t>37</t>
  </si>
  <si>
    <t>A public data set of walking full body kinematics and kinetics in individuals with Parkinson's disease</t>
  </si>
  <si>
    <t>14</t>
  </si>
  <si>
    <t>An Asian centric human movement database capturing activities of daily living</t>
  </si>
  <si>
    <t>Step up/down, cross obstacle, reach grasp (lateral/forward), hand to mouth, hand on head, 10m walk, balance, key turning, folding towel</t>
  </si>
  <si>
    <t>An open source, externally validated neural network algorithm to recognize daily life gait of older adults based on a lower back sensor</t>
  </si>
  <si>
    <t>Walking (daily life gait, older adults, IMU)</t>
  </si>
  <si>
    <t>36</t>
  </si>
  <si>
    <t>Complexity of locomotion activities in an outside of the lab wearable motion capture dataset</t>
  </si>
  <si>
    <t>Walking, backward walking, complex locomotion (real world on field)</t>
  </si>
  <si>
    <t>27</t>
  </si>
  <si>
    <t>Level walking, stair ascent/descent, slope ascending/descending, sit to stand/stand to sit (7 tasks)</t>
  </si>
  <si>
    <t>Walking (straight line, POMA G 7 item gait assessment)</t>
  </si>
  <si>
    <t>59</t>
  </si>
  <si>
    <t>Democratizing Clinical Movement Analysis: Assessing the Versatility of MoJoXlab with Open Protocol Inertial Sensors</t>
  </si>
  <si>
    <t>Riasat Islam, Mohamed Bennasar, Mohammad Al Amri, Simon Holland, Paul Mulholland, Blaine Price</t>
  </si>
  <si>
    <t>7</t>
  </si>
  <si>
    <t>Stair descent (13 real world steps)</t>
  </si>
  <si>
    <t>Development and validation of a deep learning markerless system for lower limb kinematics in hip and knee osteoarthritis population</t>
  </si>
  <si>
    <t>N/A</t>
  </si>
  <si>
    <t>Walking, standing, sitting in a chair, laying in bed, walking upstairs, walking downstairs, picking objects from ground, reaching for objects at height, turning while walking/standing; transitions: sit to stand, stand to sit, lie to sit, sit to lie (9 locomotion activities + 4 transitions = 13 classes; continuous, unconstrained recording)</t>
  </si>
  <si>
    <t>63</t>
  </si>
  <si>
    <t>83</t>
  </si>
  <si>
    <t>Error State Kalman Filter for Lower Limb Kinematic Estimation: Evaluation on a 3 Body Model</t>
  </si>
  <si>
    <t>Walking  lower limb kinematics estimation (pelvis and two legs, 3 body model)</t>
  </si>
  <si>
    <t>45</t>
  </si>
  <si>
    <t>Fast Wearable SensorBased Foot Ground Contact Phase Classification Using a Convolutional Neural Network with Sliding Window Label Overlapping</t>
  </si>
  <si>
    <t>Walking (0.2 1.5 m/s, lower limb motion, CNN wearable)</t>
  </si>
  <si>
    <t>49</t>
  </si>
  <si>
    <t>Feature Fusion of a Deep Learning Algorithm into Wearable Sensor Devices for Human Activity Recognition</t>
  </si>
  <si>
    <t>Chih Ta Yen, Jia Xian Liao, Yi Kai Huang</t>
  </si>
  <si>
    <t>23</t>
  </si>
  <si>
    <t>Foot kinematics and kinetics data for different static foot posture collected using a multi segment foot model</t>
  </si>
  <si>
    <t>Enrique Sanchis Sales, Joaquín L. Sancho Bru, Alba Roda Sales, MaJosé Chiva Miralles, Carmen García Gomáriz</t>
  </si>
  <si>
    <t>Walking (foot kinematics, multi segment foot model, static foot posture classification)</t>
  </si>
  <si>
    <t>75</t>
  </si>
  <si>
    <t>Full Body Mobility Data to Validate Inertial Measurement Unit Algorithms in Healthy and Neurological Cohorts</t>
  </si>
  <si>
    <t>Full body mobility tasks: walking, turning, sit to stand, balance tasks (healthy and Parkinson's/other neurological cohorts)</t>
  </si>
  <si>
    <t>Full body mobile brain body imaging data during unconstrained locomotion on stairs, ramps, and level ground</t>
  </si>
  <si>
    <t>Justin A. Brantley, Trieu Phat Luu, Sho Nakagome, Fangshi Zhu, Jose L. Contreras Vidal</t>
  </si>
  <si>
    <t>46</t>
  </si>
  <si>
    <t>Fusion of Multiple Lidars and Inertial Sensors for the Real Time Pose Tracking of Human Motion</t>
  </si>
  <si>
    <t>Walking and squatting (full body pose tracking, multi LiDAR + IMU fusion)</t>
  </si>
  <si>
    <t>Andreas Spilz, Heiko Oppel, Jochen Werner, Kathrin Stucke Straub, Felix Capanni, Michael Munz</t>
  </si>
  <si>
    <t>Walking, gait related exercises (rehabilitation, IMU + MoCap)</t>
  </si>
  <si>
    <t>41</t>
  </si>
  <si>
    <t>42</t>
  </si>
  <si>
    <t>Gait dataset of 14 Syrian above knee amputees and 20 healthy subjects</t>
  </si>
  <si>
    <t>Walking (above knee amputees with prostheses, gait kinematics/kinetics)</t>
  </si>
  <si>
    <t>High density EMG, IMU, kinetic, and kinematic open source data for comprehensive locomotion activities</t>
  </si>
  <si>
    <t>Level ground walking, slope walking, stair ascent/descent, side stepping, stand to walk, sit to stand to walk (multiple speeds)</t>
  </si>
  <si>
    <t>39</t>
  </si>
  <si>
    <t>Influence of Step Width Manipulation on Running Biomechanics</t>
  </si>
  <si>
    <t>Walking at 3 inclinations (0°, ±5°, ±10°) and 3 speeds (0.5, 1.0, 1.5 m/s); nonideal conditions: muscle fatigue, electrode shifts, inter day differences</t>
  </si>
  <si>
    <t>73</t>
  </si>
  <si>
    <t>23 daily life locomotion activities: slow/normal/fast walking, jogging, backward walking, side stepping, circle walking, turning on spot, stair ascent/descent (step over step and step by step), ramp ascent/descent, standing, sitting, sit to stand, stand to sit, squatting, calf raises, free knee/ankle flexion extension</t>
  </si>
  <si>
    <t>82</t>
  </si>
  <si>
    <t>Luís Moreira, Joana Figueiredo, Pedro Fonseca, João P. Vilas Boas, Cristina P. Santos</t>
  </si>
  <si>
    <t>35</t>
  </si>
  <si>
    <t>Lower Limb Kinematics Trajectory Prediction Using Long Short Term Memory Neural Networks</t>
  </si>
  <si>
    <t>Lower limb kinematics and kinetics during continuously varying human locomotion</t>
  </si>
  <si>
    <t>Emma Reznick, Kyle R. Embry, Ross Neuman, Edgar Bolívar Nieto, Nicholas P. Fey, Robert D. Gregg</t>
  </si>
  <si>
    <t>Walking, running (treadmill), stair climbing, sit to stand, speed/incline transitions</t>
  </si>
  <si>
    <t>31</t>
  </si>
  <si>
    <t>Motion capture dataset of 137 post operative total hip replacement patients performing activities of daily living</t>
  </si>
  <si>
    <t>Normal walking, fast walking, stair ascent, stair descent, squat, lunge, sit to stand, stand to sit (8 ADL total)</t>
  </si>
  <si>
    <t>Multi task artificial neural networks and their extrapolation capabilities to predict full body 3D human posture during one and two handed load handling activities</t>
  </si>
  <si>
    <t>Mario Martínez Zarzuela, Javier González Alonso, Míriam Antón Rodríguez, Francisco J. Díaz Pernas, Henning Müller, Cristina Simón Martínez</t>
  </si>
  <si>
    <t>Walk forward, walk backward, walk along line, sit to stand, ball throw, rehabilitation exercises (13 activities)</t>
  </si>
  <si>
    <t>Open dataset of kinetics, kinematics, and electromyography of above knee amputees during stand up and sit down</t>
  </si>
  <si>
    <t>Stand up and sit down (above knee amputees with passive prostheses)</t>
  </si>
  <si>
    <t>Personalization of Wearable Sensor Based Joint Kinematics Estimation Using Computer Vision for Hip Exoskeleton Applications</t>
  </si>
  <si>
    <t>Changseob Song, Bogdan Ivanyuk Skulskyi, Adrian Krieger, Kaitao Luo, Inseung Kang</t>
  </si>
  <si>
    <t>5</t>
  </si>
  <si>
    <t>Sit to stand, step up, gait, arm adduction (STA assessment)</t>
  </si>
  <si>
    <t>Synthetic 3D Full Body Skeletal Motion from 2D Paths Using RNN with LSTM Cells</t>
  </si>
  <si>
    <t>David Carneros Prado, Cosmin C. Dobrescu, Luis Cabañero, Laura Villa, Yulith V. Altamirano Flores, Irvin Hussein Lopez Nava, Iván González, Jesús Fontecha, Ramón Hervás</t>
  </si>
  <si>
    <t>58</t>
  </si>
  <si>
    <t>Synthetic 3D Full Body Skeletal Motion from 2D Paths Using RNN with LSTM Cells and Linear Networks</t>
  </si>
  <si>
    <t>4</t>
  </si>
  <si>
    <t>57</t>
  </si>
  <si>
    <t>33</t>
  </si>
  <si>
    <t>ankleImage  an ultrafast ultrasound image dataset to understand the ankle joint muscle contractility</t>
  </si>
  <si>
    <t>mModPoEs: Multimodal posture estimation and feedback driven correction of load bearing human movements using wearable sensors and computer vision</t>
  </si>
  <si>
    <t>Upper Limb Activities</t>
  </si>
  <si>
    <t>1</t>
  </si>
  <si>
    <t>A novel vision based real time method for evaluating postural risk factors associated with musculoskeletal disorders</t>
  </si>
  <si>
    <t>ADL: brushing hair, drinking from cup, opening lower/upper cabinet, picking up box/duster/water jug, pouring; ROM: 8 upper body tasks</t>
  </si>
  <si>
    <t>Kinematic synergies show good consistency when extracted with a low cost markerless device and a marker based motion tracking system</t>
  </si>
  <si>
    <t>52</t>
  </si>
  <si>
    <t>Lightweight Vision Transformer for Frame Level Ergonomic Posture Classification in Industrial Workflows</t>
  </si>
  <si>
    <t>Kevin Niño Tejada, Laura Saldaña Aristizabal, Jhonathan L. Rivas Caicedo, Juan F. Patarroyo Montenegro (University of Puerto Rico Mayaguez)</t>
  </si>
  <si>
    <t>60</t>
  </si>
  <si>
    <t>Grasping 49 equally spaced cylindrical targets across planar workspace; reaching with and without wrist braces (2450 trajectories)</t>
  </si>
  <si>
    <t>43</t>
  </si>
  <si>
    <t>ULtRa MoCap: a Multimodal IMU and sEMG Dataset for Upper Body Joint Kinematics analysis</t>
  </si>
  <si>
    <t>Activities of Daily Living (ADL)</t>
  </si>
  <si>
    <t>72</t>
  </si>
  <si>
    <t>A Dataset of Human and Robot Approach Behaviors into Small Free Standing Conversational Groups (CongreG8)</t>
  </si>
  <si>
    <t>Approach behaviors into 3 person free standing conversational groups; full body positioning, orienting and social interaction motions</t>
  </si>
  <si>
    <t>ADL Videos Dataset  Activities of Daily Living in a Functional Kitchen (Just Move!)</t>
  </si>
  <si>
    <t>Laundry, breakfast preparation, and other activities of daily living (multi camera, multiple angles per activity)</t>
  </si>
  <si>
    <t>Making tea, preparing sandwich/cereals, setting table, using laptop, manipulating cell phone, reading newspaper, washing dishes, cleaning kitchen (HWU USP 9 home ADL)</t>
  </si>
  <si>
    <t>EPFL Smart Kitchen 30: Densely Annotated Cooking Dataset with 3D Kinematics (Word descriptor)</t>
  </si>
  <si>
    <t>HWU USP Multimodal Human Activities Dataset</t>
  </si>
  <si>
    <t>Caetano M Ranieri, Scott MacLeod, Mauro Dragone, Patricia A Vargas, Roseli A F Romero (Heriot Watt University; University of São Paulo)</t>
  </si>
  <si>
    <t>64</t>
  </si>
  <si>
    <t>71</t>
  </si>
  <si>
    <t>The Effects of Selected Object Features on a Pick and Place Task: A Human Multimodal Dataset</t>
  </si>
  <si>
    <t>Pick and place task (80 repetitions each, 1200 total); objects vary in weight and liquid filling</t>
  </si>
  <si>
    <t>Sport &amp; Exercise</t>
  </si>
  <si>
    <t>11</t>
  </si>
  <si>
    <t>EMOKINE: A software package and computational framework for scaling up the creation of highly controlled emotional full body movement datasets</t>
  </si>
  <si>
    <t>Julia F. Christensen, Andrés Fernández, Rebecca A. Smith, Georgios Michalareas, Sina H. N. Yazdi, Fahima Farahi, Eva Madeleine Schmidt, Nasimeh Bahmanian, Gemma Roig</t>
  </si>
  <si>
    <t>38</t>
  </si>
  <si>
    <t>47</t>
  </si>
  <si>
    <t>Motion Inference Using Sparse Inertial Sensors, Self Supervised Learning, and a New Dataset of Unscripted Human Motion</t>
  </si>
  <si>
    <t>Recognizing Full Body Exercise Execution Errors Using the Teslasuit</t>
  </si>
  <si>
    <t>Squats, lunges, push ups (exercise execution error detection, Teslasuit 10 IMU suit)</t>
  </si>
  <si>
    <t>79</t>
  </si>
  <si>
    <t>Fall Related / Jump Landing</t>
  </si>
  <si>
    <t>69</t>
  </si>
  <si>
    <t>A Multimodal Biomechanics and EMG Dataset of Drop Vertical Jump Under Virtual Reality Visual Height Perturbations in Individuals With and Without Chronic Ankle Instability</t>
  </si>
  <si>
    <t>Drop vertical jump (DVJ) under 5 conditions: 1 real world control (30 cm) and 4 VR visual height perturbations (0, 10, 30, 50 cm)</t>
  </si>
  <si>
    <t>88</t>
  </si>
  <si>
    <t>Effects of Lower Limb Biomechanical Characteristics on Jump Performance in Female Volleyball Players Based on Long Stretch Shortening Cycle Movements</t>
  </si>
  <si>
    <t>Depth jumps maximal effort under long stretch shortening cycle (SSC) conditions (ground contact time ≥ 222 ms)</t>
  </si>
  <si>
    <t>29</t>
  </si>
  <si>
    <t>Motion capture data of six jump landings, fatigued and non fatigued, after anterior cruciate ligament injury</t>
  </si>
  <si>
    <t>Jump landing (fatigued and non fatigued), fatigue protocol (box jumps, squats)</t>
  </si>
  <si>
    <t>Balance &amp; Stability</t>
  </si>
  <si>
    <t>A multimodal biomechanical and eye tracking dataset of suprapostural coordination in healthy young adults</t>
  </si>
  <si>
    <t>68</t>
  </si>
  <si>
    <t>Human Cortical Dynamics During Full Body Heading Changes</t>
  </si>
  <si>
    <t>Physical body rotation (varying velocities), visual flow rotation (VR based heading direction task)</t>
  </si>
  <si>
    <t>Thomas Chatagnon, Anne Hélène Olivier, Ludovic Hoyet, Julien Pettré, Charles Pontonnier (INRIA / Univ. Rennes)</t>
  </si>
  <si>
    <t>Quiet standing; balance recovery after external perturbation at shoulder height (5 angles × 3 intensity levels × 2 reps; sensory impaired and normal vision conditions)</t>
  </si>
  <si>
    <t>Occupational / Ergonomics</t>
  </si>
  <si>
    <t>87</t>
  </si>
  <si>
    <t>MMH: A Multimodal Dataset of Whole Body Kinematics, Bilateral GRF, and Lower Limb sEMG During Load Lifting and Lowering</t>
  </si>
  <si>
    <t>Load lifting and lowering (2 kg): stoop technique, semi squat technique, full squat technique × one handed and two handed × multiple initial/final load locations (72 trials per subject)</t>
  </si>
  <si>
    <t>Pose Estimation / Static Posture</t>
  </si>
  <si>
    <t>34</t>
  </si>
  <si>
    <t>A High Fidelity mmWave Radar Dataset for Privacy Sensitive Human Pose Estimation</t>
  </si>
  <si>
    <t>Yuanzhi Su, Huiying (Cynthia) Hou, Haifeng Lan, Christina Zong Hao Ma</t>
  </si>
  <si>
    <t>Summary by Activity Category</t>
  </si>
  <si>
    <t>Activity Category</t>
  </si>
  <si>
    <t># Datasets</t>
  </si>
  <si>
    <t>% of Total</t>
  </si>
  <si>
    <t>Quality Assessment Score (QAS) — Human Motion Dataset Review</t>
  </si>
  <si>
    <t>Scale: 0 = No / Not reported   |   1 = Partial   |   2 = Yes / Fully reported   |   Max score = 10 per dataset</t>
  </si>
  <si>
    <t>Dataset Identifier</t>
  </si>
  <si>
    <t>C1: Documentation Clarity
Sensor placement, calibration procedures, and data format clearly described</t>
  </si>
  <si>
    <t>C2: Metadata Completeness
Participant demographics (age, sex, health status) and clinical scores reported</t>
  </si>
  <si>
    <t>C3: Data Accessibility
Dataset easily downloadable without complex approval process</t>
  </si>
  <si>
    <t>C4: Ethical Compliance
Ethical approval (IRB/committee) and informed consent mentioned</t>
  </si>
  <si>
    <t>C5: Data Completeness
Raw/minimally processed data available; all described sensors/modalities present</t>
  </si>
  <si>
    <t>Total
(0–10)</t>
  </si>
  <si>
    <t>C1
Doc.
Clarity</t>
  </si>
  <si>
    <t>C2
Metadata
Complete.</t>
  </si>
  <si>
    <t>C3
Data
Access.</t>
  </si>
  <si>
    <t>C4
Ethical
Compl.</t>
  </si>
  <si>
    <t>C5
Data
Complete.</t>
  </si>
  <si>
    <t>Total
QAS</t>
  </si>
  <si>
    <t>SUMMARY</t>
  </si>
  <si>
    <t>Average QAS: 7.0/10</t>
  </si>
  <si>
    <t>Min: 3</t>
  </si>
  <si>
    <t>Max: 10</t>
  </si>
  <si>
    <t>Colour Legend</t>
  </si>
  <si>
    <t>Score 0 — Not reported / No</t>
  </si>
  <si>
    <t>Score 1 — Partial / Some information missing</t>
  </si>
  <si>
    <t>Score 2 — Yes / Fully reported</t>
  </si>
  <si>
    <t>Total ≤ 4 — Low quality</t>
  </si>
  <si>
    <t>Total 5–7 — Medium quality</t>
  </si>
  <si>
    <t>Total 8–9 — Good quality</t>
  </si>
  <si>
    <t>Total 10 — Excellent quality</t>
  </si>
  <si>
    <t>Categories:  1 = IMU Only    2 = IMU + Markers    3 = Force Plate + Markers    4 = IMU + Force Plates + Markers ★    5 = Video/Webcam Only    6 = Marker Only    7 = Other Combinations</t>
  </si>
  <si>
    <t>■ IMU Only   ■ IMU + Markers   ■ Force Plate + Markers   ■ IMU + Force Plates + Markers ★ (Gold Standard)   ■ Video / Webcam Only   ■ Marker Only   ■ Other Combinations</t>
  </si>
  <si>
    <t>Other Combinations</t>
  </si>
  <si>
    <t>Modality Category</t>
  </si>
  <si>
    <t>Category #</t>
  </si>
  <si>
    <t>Video / Webcam Only</t>
  </si>
  <si>
    <t>IMU + Markers</t>
  </si>
  <si>
    <t>Full body posture prediction kinematic dataset</t>
  </si>
  <si>
    <t>Marker Only</t>
  </si>
  <si>
    <t>Count</t>
  </si>
  <si>
    <t>Video (CameraHMR monocular), marker based MoCap, OpenCap</t>
  </si>
  <si>
    <t>IMU Only</t>
  </si>
  <si>
    <t>14.1%</t>
  </si>
  <si>
    <t>Single IMU (sacrum worn), marker based MoCap</t>
  </si>
  <si>
    <t>10.6%</t>
  </si>
  <si>
    <t>Multi camera markerless system (4 cameras), marker based MoCap</t>
  </si>
  <si>
    <t>IMU + Force Plates + Markers ★</t>
  </si>
  <si>
    <t>5.9%</t>
  </si>
  <si>
    <t>Xsens MTw Awinda (full body IMU), Moticon SCIENCE pressure insoles</t>
  </si>
  <si>
    <t>3.5%</t>
  </si>
  <si>
    <t>15.3%</t>
  </si>
  <si>
    <t>Force Plate + Markers</t>
  </si>
  <si>
    <t>25.9%</t>
  </si>
  <si>
    <t>IMU (lower back inertial sensor)</t>
  </si>
  <si>
    <t>24.7%</t>
  </si>
  <si>
    <t>Above knee amputee gait dataset</t>
  </si>
  <si>
    <t>10 camera motion capture, instrumented treadmill</t>
  </si>
  <si>
    <t>IMU + Force Plates + Markers</t>
  </si>
  <si>
    <t>Human robot interaction retail dataset</t>
  </si>
  <si>
    <t>Full body motion capture, eye gaze tracker, robot sensors</t>
  </si>
  <si>
    <t>Non laboratory gait dataset (egocentric)</t>
  </si>
  <si>
    <t>SIAT LLMD (lower limb motion dataset)</t>
  </si>
  <si>
    <t>sEMG (9 wireless sensors), motion capture, 6 DOF force plates</t>
  </si>
  <si>
    <t>Comprehensive locomotion dataset (HD EMG+IMU)</t>
  </si>
  <si>
    <t>HD sEMG, IMU, motion capture, force plates</t>
  </si>
  <si>
    <t>Lower limb biomechanics dataset (cyclic+non cyclic)</t>
  </si>
  <si>
    <t>Foot kinematics dataset (multi segment foot model)</t>
  </si>
  <si>
    <t>Above knee amputee stand up/sit down dataset</t>
  </si>
  <si>
    <t>12 camera motion capture, force plates, EMG</t>
  </si>
  <si>
    <t>CeTI Age Kinematics dataset</t>
  </si>
  <si>
    <t>IMU sensor suit and gloves (full body)</t>
  </si>
  <si>
    <t>12 camera motion capture, eye tracker, force plate</t>
  </si>
  <si>
    <t>ACL injury jump landing dataset</t>
  </si>
  <si>
    <t>9 IMU sensors, marker based MoCap (68 markers)</t>
  </si>
  <si>
    <t>10 camera Vicon MoCap, AMTI force plates</t>
  </si>
  <si>
    <t>mmFree Pose</t>
  </si>
  <si>
    <t>mmWave radar, VDSuit Full motion capture</t>
  </si>
  <si>
    <t>Out of lab wearable MoCap dataset</t>
  </si>
  <si>
    <t>Xsens Awinda (17 IMU sensors, full body)</t>
  </si>
  <si>
    <t>Raptor 4 MoCap (44 markers: 26 lower limb + 18 trunk/upper), force plates, EMG</t>
  </si>
  <si>
    <t>Full body motion capture</t>
  </si>
  <si>
    <t>Step width running biomechanics dataset</t>
  </si>
  <si>
    <t>Above knee amputee gait dataset (Damascus)</t>
  </si>
  <si>
    <t>BTS SMART D video cameras (6), Kistler force plates (2)</t>
  </si>
  <si>
    <t>ULtRa MoCap dataset</t>
  </si>
  <si>
    <t>Mobile brain body locomotion dataset</t>
  </si>
  <si>
    <t>60 channel EEG, EMG (6 muscles), 17 IMU MoCap</t>
  </si>
  <si>
    <t>Foot ground contact phase dataset</t>
  </si>
  <si>
    <t>Multi LiDAR + IMU pose tracking dataset</t>
  </si>
  <si>
    <t>Velodyne VLP 16 LiDAR (16 channel), IMU</t>
  </si>
  <si>
    <t>XSens MVN Link (full body IMU MoCap)</t>
  </si>
  <si>
    <t>Teslasuit (full body haptic/motion suit with IMU)</t>
  </si>
  <si>
    <t>RGB video camera, full body inertial MoCap</t>
  </si>
  <si>
    <t>Motion capture (Vicon), Instrumented treadmill with force plates, sEMG (13 muscles bilateral lower limbs), A mode Ultrasound</t>
  </si>
  <si>
    <t>IMU full body suit (XSens MVN Link)</t>
  </si>
  <si>
    <t>Full Body 3D Human Gait Dataset</t>
  </si>
  <si>
    <t>IMU (open protocol inertial sensors)</t>
  </si>
  <si>
    <t>Motion capture (marker based)</t>
  </si>
  <si>
    <t>Multi sensor gait dataset</t>
  </si>
  <si>
    <t>IMU (smartphone + custom IMU device, leg mounted), Motion capture (42 reflective markers)</t>
  </si>
  <si>
    <t>Camera (multi angle), MediaPipe, YOLOv8 (skeletal pose)</t>
  </si>
  <si>
    <t>Mobile Brain Body Imaging (MoBI) dataset</t>
  </si>
  <si>
    <t>DVJ VR Dataset</t>
  </si>
  <si>
    <t>Motion capture (38 marker Plug in Gait), Force plates, EMG (bilateral lower limb)</t>
  </si>
  <si>
    <t>Pick and Place multimodal dataset</t>
  </si>
  <si>
    <t>Motion capture, Multi camera, IMU (wrist worn)</t>
  </si>
  <si>
    <t>Motion capture (full body)</t>
  </si>
  <si>
    <t>Full body mobility IMU dataset</t>
  </si>
  <si>
    <t>IMU (full body wearable)</t>
  </si>
  <si>
    <t>Motion capture (Vicon 10 camera), Inverse dynamics</t>
  </si>
  <si>
    <t>IMU (body worn), Motion capture (optical, for validation)</t>
  </si>
  <si>
    <t>Motion capture (full body), Split belt instrumented treadmill</t>
  </si>
  <si>
    <t>Motion capture (16 camera optical), Musculoskeletal model</t>
  </si>
  <si>
    <t>Motion capture (3D, marker based)</t>
  </si>
  <si>
    <t>MoCap IMU Upper Limb Joint Angle Dataset</t>
  </si>
  <si>
    <t>Xsens Awinda MTw full body IMU system (17 wireless MTw sensors, 60 Hz, MVN Analyze software); synthetic data generated via RNN + MLP</t>
  </si>
  <si>
    <t>Multi angle camera/video; MediaPipe skeletal pose estimation; YOLOv8 object detection</t>
  </si>
  <si>
    <t>HWU USP MHAD</t>
  </si>
  <si>
    <t>EPFL Smart Kitchen 30</t>
  </si>
  <si>
    <t>8 IMUs (6 body + knife + spatula), 9 static RGB D cameras (exocentric), HoloLens 2 (egocentric + eye gaze + hand pose); synchronized</t>
  </si>
  <si>
    <t>Vicon motion capture (10 cameras, 120 Hz, 41 markers extended Plug in Gait), 2 Kistler force plates (1200 Hz, 3D GRF + 2D CoP), 12 Myon wireless sEMG sensors (bilaterally: tibialis anterior, medial/lateral gastrocnemius, rectus femoris, semitendinosus, vastus lateralis)</t>
  </si>
  <si>
    <t>Single waist worn IMU (LSM6DSOX; tri axial accelerometer + gyroscope at 50 Hz); &gt;2.6 million samples; labels via synchronized smartphone app</t>
  </si>
  <si>
    <t>SUMMARY: Modality Category Counts (n=85)</t>
  </si>
  <si>
    <t>Bar</t>
  </si>
  <si>
    <t>████████████</t>
  </si>
  <si>
    <t>█████████</t>
  </si>
  <si>
    <t>█████</t>
  </si>
  <si>
    <t>███</t>
  </si>
  <si>
    <t>█████████████</t>
  </si>
  <si>
    <t>██████████████████████</t>
  </si>
  <si>
    <t>█████████████████████</t>
  </si>
  <si>
    <t>★  Datasets featuring IMU in any form (IMU Only + IMU+Markers + IMU+FP+Markers + IMU in Other): 41 / 85 = 48.2%     |     Gold Standard (IMU + FP + Markers): 5 / 85 = 5.9%</t>
  </si>
  <si>
    <t>Population categories: H=Healthy | O=Older/Aging | C=Clinical | M=Mixed | NR=N not reported  |  ★ Running Injury Clinic (N=1,798) noted as outlier; excluded from % calculations</t>
  </si>
  <si>
    <t>N (raw)</t>
  </si>
  <si>
    <t>N Total</t>
  </si>
  <si>
    <t>N Healthy</t>
  </si>
  <si>
    <t>N Clinical</t>
  </si>
  <si>
    <t>Population Category</t>
  </si>
  <si>
    <t>Clinical Condition</t>
  </si>
  <si>
    <t>Healthy</t>
  </si>
  <si>
    <t>NR</t>
  </si>
  <si>
    <t>Not Reported</t>
  </si>
  <si>
    <t>Occupational</t>
  </si>
  <si>
    <t>N</t>
  </si>
  <si>
    <t>% of Total Pool</t>
  </si>
  <si>
    <t>Mean N</t>
  </si>
  <si>
    <t>Sum N</t>
  </si>
  <si>
    <t>Healthy Adults</t>
  </si>
  <si>
    <t>41.1</t>
  </si>
  <si>
    <t>Older Adults</t>
  </si>
  <si>
    <t>ADL / Complex Multi-Task</t>
  </si>
  <si>
    <t>25.2</t>
  </si>
  <si>
    <t>Clinical</t>
  </si>
  <si>
    <t>Osteoarthritis (OA)</t>
  </si>
  <si>
    <t>Balance &amp; Posture</t>
  </si>
  <si>
    <t>26.4</t>
  </si>
  <si>
    <t>Total Hip Replacement (THR)</t>
  </si>
  <si>
    <t>Sport / Exercise</t>
  </si>
  <si>
    <t>19.8</t>
  </si>
  <si>
    <t>Neurological (PD + other)</t>
  </si>
  <si>
    <t>Upper Limb</t>
  </si>
  <si>
    <t>9.6</t>
  </si>
  <si>
    <t>Amputees (all)</t>
  </si>
  <si>
    <t>25.0</t>
  </si>
  <si>
    <t>Older/Aging</t>
  </si>
  <si>
    <t>Parkinson's Disease</t>
  </si>
  <si>
    <t>Other</t>
  </si>
  <si>
    <t>21.0</t>
  </si>
  <si>
    <t>Clinical Mixed</t>
  </si>
  <si>
    <t>Others (ACL, CAI, etc.)</t>
  </si>
  <si>
    <t>Amputees (above-knee)</t>
  </si>
  <si>
    <t>Total</t>
  </si>
  <si>
    <t>Note: "Others" includes ACL injury (21), chronic ankle instability (14) — you can list them separately if needed.</t>
  </si>
  <si>
    <t>Mixed (Healthy+Clinical)</t>
  </si>
  <si>
    <t>ACL Injury</t>
  </si>
  <si>
    <t>Total Hip Replacement</t>
  </si>
  <si>
    <t>Clinical (mixed)</t>
  </si>
  <si>
    <t>Amputees (transradial)</t>
  </si>
  <si>
    <t>Chronic Ankle Instability</t>
  </si>
  <si>
    <t>Injured (running)</t>
  </si>
  <si>
    <t>Amputees (Paralympic)</t>
  </si>
  <si>
    <t>Population Group</t>
  </si>
  <si>
    <t>Total N</t>
  </si>
  <si>
    <t>% of Adj. Pool</t>
  </si>
  <si>
    <t>Bar (proportional)</t>
  </si>
  <si>
    <t>Healthy Adults (no pathology)</t>
  </si>
  <si>
    <t>████████████████████████████████████</t>
  </si>
  <si>
    <t>Older/Aging Adults (non-pathological)</t>
  </si>
  <si>
    <t>Clinical Populations (all conditions)</t>
  </si>
  <si>
    <t>Mixed (Healthy + Clinical)</t>
  </si>
  <si>
    <t>SUMMARY B — Clinical Population Breakdown (excl. Running Injury Clinic)</t>
  </si>
  <si>
    <t>Condition</t>
  </si>
  <si>
    <t>% of All Clinical</t>
  </si>
  <si>
    <t>32.1%</t>
  </si>
  <si>
    <t>██████</t>
  </si>
  <si>
    <t>29.3%</t>
  </si>
  <si>
    <t>14.3%</t>
  </si>
  <si>
    <t>██</t>
  </si>
  <si>
    <t>8.8%</t>
  </si>
  <si>
    <t>█</t>
  </si>
  <si>
    <t>5.6%</t>
  </si>
  <si>
    <t>4.5%</t>
  </si>
  <si>
    <t>3.0%</t>
  </si>
  <si>
    <t>1.5%</t>
  </si>
  <si>
    <t>0.4%</t>
  </si>
  <si>
    <t>Min N</t>
  </si>
  <si>
    <t>Max N</t>
  </si>
  <si>
    <t>Bar (mean)</t>
  </si>
  <si>
    <t>████████</t>
  </si>
  <si>
    <t>████</t>
  </si>
  <si>
    <t>★ NOTE: The Running Injury Clinic dataset (N=1,798, mixed healthy + injured) is excluded from averages above as a statistical outlier. If included, the Gait &amp; Locomotion mean rises to ~85 participants. 4 datasets with "N not reported" are excluded throughout.</t>
  </si>
  <si>
    <t>Pass 3 Status</t>
  </si>
  <si>
    <t>Pass 3 - recategorised from Sport &amp; Exercise to ADL (matches Participant Demographics sheet)</t>
  </si>
  <si>
    <t>Activities Performed (verbatim)</t>
  </si>
  <si>
    <t>Segments</t>
  </si>
  <si>
    <t>Task-like segments</t>
  </si>
  <si>
    <t>SUGGESTED code</t>
  </si>
  <si>
    <t>REVIEW FLAG</t>
  </si>
  <si>
    <t>CONFIRMED code (edit here)</t>
  </si>
  <si>
    <t>Parsed tasks</t>
  </si>
  <si>
    <t>Single</t>
  </si>
  <si>
    <t>filter-flipped</t>
  </si>
  <si>
    <t>Multitask</t>
  </si>
  <si>
    <t>Sit-to-stand | step-up | gait | arm adduction</t>
  </si>
  <si>
    <t>Squatting | reaching | standing | load handling</t>
  </si>
  <si>
    <t>Walking</t>
  </si>
  <si>
    <t>Stair descent</t>
  </si>
  <si>
    <t>Sitting | standing | walking</t>
  </si>
  <si>
    <t>Upper limb movements | locomotion | hand grasps</t>
  </si>
  <si>
    <t>Dance | side steps | walking | pointing | drinking | throwing</t>
  </si>
  <si>
    <t>Step up/down | cross obstacle | reach-grasp | hand to mouth | hand on head | 10m walk | balance | key turning | folding towel</t>
  </si>
  <si>
    <t>Walking | running | stair climbing | sit-to-stand | speed/incline transitions</t>
  </si>
  <si>
    <t>picking up/putting items | pushing/pulling cart | browsing shelf | bending/crouching</t>
  </si>
  <si>
    <t>Forward walking | backward walking | side stepping | obstacle avoidance | ramp | level ground | stairs</t>
  </si>
  <si>
    <t>borderline (exactly 2)</t>
  </si>
  <si>
    <t>Walking | running</t>
  </si>
  <si>
    <t>Walking level ground | standing up | sitting down | stair ascent/descent | knee lift | toe tip | leg lift forward/backward | static posture</t>
  </si>
  <si>
    <t>Walk forward | walk backward | walk along line | sit-to-stand | ball throw | rehabilitation exercises</t>
  </si>
  <si>
    <t>Level-ground walking | slope walking | stair ascent/descent | side stepping | stand-to-walk | sit-to-stand-to-walk</t>
  </si>
  <si>
    <t>Walking | running | step over | sit-to-stand | turning | squats | lifting weight | jumping | posing | cutting | lunges | ball toss | step ups | curb jump</t>
  </si>
  <si>
    <t>Ankle dorsiflexion/plantarflexion</t>
  </si>
  <si>
    <t>Stand-up and sit-down</t>
  </si>
  <si>
    <t>Walking | carrying | sit-to-stand | reaching/placing objects</t>
  </si>
  <si>
    <t>Level walking | stair ascent/descent | slope ascending/descending | sit-to-stand/stand-to-sit</t>
  </si>
  <si>
    <t>Quiet standing | balance perturbations</t>
  </si>
  <si>
    <t>Jump-landing</t>
  </si>
  <si>
    <t>Walking | gait-related exercises</t>
  </si>
  <si>
    <t>Normal walking | fast walking | stair ascent | stair descent | squat | lunge | sit-to-stand | stand-to-sit</t>
  </si>
  <si>
    <t>Walking | treadmill | round path | ground | stairs | slope | obstacles</t>
  </si>
  <si>
    <t>Various poses</t>
  </si>
  <si>
    <t>Walking | backward walking | complex locomotion</t>
  </si>
  <si>
    <t>Walking overground</t>
  </si>
  <si>
    <t>Walking | pointing | throwing</t>
  </si>
  <si>
    <t>Running</t>
  </si>
  <si>
    <t>Nordic walking</t>
  </si>
  <si>
    <t>Arm swing | crossbody reach | elbow flexion | shoulder rotation | overhead reach</t>
  </si>
  <si>
    <t>Walking on level ground | ramps | stairs</t>
  </si>
  <si>
    <t>Walking and squatting</t>
  </si>
  <si>
    <t>Sitting | standing | walking | exercising | cleaning | campus activities</t>
  </si>
  <si>
    <t>Making tea | preparing sandwich/cereals | setting table | using laptop | manipulating cell phone | reading newspaper | washing dishes | cleaning kitchen</t>
  </si>
  <si>
    <t>Walking | walking upstairs | walking downstairs | sitting | standing | laying</t>
  </si>
  <si>
    <t>Squats | lunges | push-ups</t>
  </si>
  <si>
    <t>ADL | brushing hair | drinking from cup | opening lower/upper cabinet | picking up box/duster/water jug | pouring | ROM</t>
  </si>
  <si>
    <t>Manual material handling | awkward postures | neck/upper limb movements</t>
  </si>
  <si>
    <t>muscle fatigue | electrode shifts | inter-day differences</t>
  </si>
  <si>
    <t>Walking on flat ground</t>
  </si>
  <si>
    <t>hip/knee/ankle joint ROM movements | walking</t>
  </si>
  <si>
    <t>Grasping 49 equally-spaced cylindrical targets across planar workspace | reaching with and without wrist braces</t>
  </si>
  <si>
    <t>Walking on straight-level walkway at normal pace</t>
  </si>
  <si>
    <t>Physical body rotation | visual flow rotation</t>
  </si>
  <si>
    <t>1 real-world control  and 4 VR visual height perturbations</t>
  </si>
  <si>
    <t>Walking on terrains of varying compliance  using VST 2 robotic treadmill</t>
  </si>
  <si>
    <t>objects vary in weight and liquid filling</t>
  </si>
  <si>
    <t>Approach behaviors into 3-person free-standing conversational groups | full-body positioning | orienting and social interaction motions</t>
  </si>
  <si>
    <t>23 daily life locomotion activities | slow/normal/fast walking | jogging | backward walking | side-stepping | circle walking | turning on spot | stair ascent/descent | ramp ascent/descent | standing | sitting | sit-to-stand | stand-to-sit | squatting | calf raises | free knee/ankle flexion-extension</t>
  </si>
  <si>
    <t>walking | turning | sit-to-stand</t>
  </si>
  <si>
    <t>7 AADLs | elbow fall | underhand toss | jogging | briefcase carry | internal rotation | jug lift | jumping jacks</t>
  </si>
  <si>
    <t>1.0 | 1.5 | 2.0 | 2.5 | 3.0 | 3.5 | 4.0 km/h</t>
  </si>
  <si>
    <t>Walking at 33 combinations of speed | step length | and step width</t>
  </si>
  <si>
    <t>Lifting a 15 kg box using 3 techniques | freestyle | squat lift | stoop lift</t>
  </si>
  <si>
    <t>Arm flexions | shoulder raises | combined elbow–shoulder motion</t>
  </si>
  <si>
    <t>Quiet standing | balance recovery after external perturbation at shoulder height</t>
  </si>
  <si>
    <t>Laundry | breakfast preparation | and other activities of daily living</t>
  </si>
  <si>
    <t>chopping | cleaning | stirring | pouring | and other kitchen manipulation activities | densely annotated at 33.78 action segments/min</t>
  </si>
  <si>
    <t>Load lifting and lowering | stoop technique | semi-squat technique | full-squat technique × one-handed and two-handed × multiple initial/final load locations</t>
  </si>
  <si>
    <t>Walking | standing | sitting in a chair | laying in bed | walking upstairs | walking downstairs | picking objects from ground | reaching for objects at height | turning while walking/standing | transitions | sit-to-stand | stand-to-sit | lie-to-sit | sit-to-lie</t>
  </si>
  <si>
    <t>CONFIRMED Single:</t>
  </si>
  <si>
    <t>CONFIRMED Multitask:</t>
  </si>
  <si>
    <t>Total:</t>
  </si>
  <si>
    <t>% Multitask:</t>
  </si>
  <si>
    <t>CODING RULE: count distinct movement tasks named outside parentheses; exclude assessment methods, protocols, populations, sensor/processing detail, and speed or condition variants of the same task. Yellow rows need a human decision.</t>
  </si>
  <si>
    <t>Supplementary Table S2. Dataset-to-subgroup mapping for the "Other Combinations" sensing category (n = 20).</t>
  </si>
  <si>
    <t>Subgroups are mutually exclusive and defined by which sensing modality is present beyond inertial, marker, force-plate, and plain-video sensing.</t>
  </si>
  <si>
    <t>#</t>
  </si>
  <si>
    <t>Dataset</t>
  </si>
  <si>
    <t>Sensors used (as recorded)</t>
  </si>
  <si>
    <t>Subgroup</t>
  </si>
  <si>
    <t>Subgroup label</t>
  </si>
  <si>
    <t>Basis for assignment</t>
  </si>
  <si>
    <t>A</t>
  </si>
  <si>
    <t>Markerless and marker-based optical combined</t>
  </si>
  <si>
    <t>4-camera markerless system with marker-based MoCap</t>
  </si>
  <si>
    <t>markerless video validated against marker-based MoCap</t>
  </si>
  <si>
    <t>Kinect RGB-D with Vicon marker system</t>
  </si>
  <si>
    <t>B</t>
  </si>
  <si>
    <t>Inertial plus optical</t>
  </si>
  <si>
    <t>IMU with smartphone camera</t>
  </si>
  <si>
    <t>RGB video with full-body inertial MoCap</t>
  </si>
  <si>
    <t>MoCap, IMU and video (OpenPose)</t>
  </si>
  <si>
    <t>2 IMUs with MediaPipe video (also flex sensors)</t>
  </si>
  <si>
    <t>video camera with 5 IMUs</t>
  </si>
  <si>
    <t>IMU with wearable camera</t>
  </si>
  <si>
    <t>C</t>
  </si>
  <si>
    <t>Inertial plus plantar pressure</t>
  </si>
  <si>
    <t>IMU with 3 FSR plantar insoles</t>
  </si>
  <si>
    <t>IMU with Moticon pressure insoles</t>
  </si>
  <si>
    <t>D</t>
  </si>
  <si>
    <t>Physiological signals added (EEG, EMG, ultrasound)</t>
  </si>
  <si>
    <t>ultrafast ultrasound and sEMG added to MoCap</t>
  </si>
  <si>
    <t>EEG added to MoCap (with VR headset)</t>
  </si>
  <si>
    <t>60-channel EEG and EMG added to IMU MoCap</t>
  </si>
  <si>
    <t>E</t>
  </si>
  <si>
    <t>Non-biomechanical modality added (radar, LiDAR, gaze, AR, ambient)</t>
  </si>
  <si>
    <t>HoloLens 2 egocentric gaze and hand pose added to IMUs and RGB-D</t>
  </si>
  <si>
    <t>eye-gaze tracker and robot sensors added to MoCap</t>
  </si>
  <si>
    <t>mmWave radar added to MoCap</t>
  </si>
  <si>
    <t>Velodyne LiDAR added to IMU</t>
  </si>
  <si>
    <t>ambient smart-home sensors added to video and IMU</t>
  </si>
  <si>
    <t>eye tracker added to wearable IMU MoCap</t>
  </si>
  <si>
    <t>Subgroup counts</t>
  </si>
  <si>
    <t>A - Markerless and marker-based optical combined</t>
  </si>
  <si>
    <t>B - Inertial plus optical</t>
  </si>
  <si>
    <t>C - Inertial plus plantar pressure</t>
  </si>
  <si>
    <t>D - Physiological signals added (EEG, EMG, ultrasound)</t>
  </si>
  <si>
    <t>E - Non-biomechanical modality added (radar, LiDAR, gaze, AR, ambient)</t>
  </si>
  <si>
    <t xml:space="preserve">  &gt;     |    datasets   (%)</t>
  </si>
  <si>
    <t>Total datasets: 81</t>
  </si>
  <si>
    <t>Scores 8-10: 33 (40.7%)</t>
  </si>
  <si>
    <t>Scores 5-7: 38 (46.9%)</t>
  </si>
  <si>
    <t>Scores &lt;=4: 10 (12.3%)</t>
  </si>
  <si>
    <t>SUMMARY A - Participant Pool by Population Group (Pass 3 corrected; adjusted pool n = 76 datasets, 2,443 participants)</t>
  </si>
  <si>
    <t>TOTAL (adjusted pool, excludes N=1798 outlier and 4 datasets without counts)</t>
  </si>
  <si>
    <t>Median N</t>
  </si>
  <si>
    <t>SUMMARY C - Sample Size by Activity Category (Pass 3 corrected; 76 datasets, outlier excluded)</t>
  </si>
  <si>
    <t>66.7%</t>
  </si>
  <si>
    <t>8.6%</t>
  </si>
  <si>
    <t>4.9%</t>
  </si>
  <si>
    <t>3.7%</t>
  </si>
  <si>
    <t>2.5%</t>
  </si>
  <si>
    <t>1.2%</t>
  </si>
  <si>
    <t>100.0%</t>
  </si>
  <si>
    <t>12.3%</t>
  </si>
  <si>
    <t>11.1%</t>
  </si>
  <si>
    <t>6.2%</t>
  </si>
  <si>
    <t>16.0%</t>
  </si>
  <si>
    <t>27.2%</t>
  </si>
  <si>
    <t>65.8%</t>
  </si>
  <si>
    <t>8.1%</t>
  </si>
  <si>
    <t>14.0%</t>
  </si>
  <si>
    <t>12.1%</t>
  </si>
  <si>
    <t>6.1%</t>
  </si>
  <si>
    <t>2.7%</t>
  </si>
  <si>
    <t>1.7%</t>
  </si>
  <si>
    <t>1.1%</t>
  </si>
  <si>
    <t>0.9%</t>
  </si>
  <si>
    <t>0.6%</t>
  </si>
  <si>
    <t>0.3%</t>
  </si>
  <si>
    <t>0.1%</t>
  </si>
  <si>
    <t>Figure 4 source data - QAS criterion profile (n = 81 datasets)</t>
  </si>
  <si>
    <t>Criterion</t>
  </si>
  <si>
    <t>Score 0</t>
  </si>
  <si>
    <t>Score 1</t>
  </si>
  <si>
    <t>Score 2</t>
  </si>
  <si>
    <t>C1 Documentation clarity</t>
  </si>
  <si>
    <t>C2 Metadata completeness</t>
  </si>
  <si>
    <t>C3 Data accessibility</t>
  </si>
  <si>
    <t>C4 Ethical compliance</t>
  </si>
  <si>
    <t>C5 Data completeness</t>
  </si>
  <si>
    <t>Each row sums to 81. Chart is 100% stacked; labels show dataset counts.</t>
  </si>
  <si>
    <t>Figure 5 source data - cross-domain co-occurrence (dataset counts, n = 81)</t>
  </si>
  <si>
    <t>A. Activity category x population group</t>
  </si>
  <si>
    <t>Older</t>
  </si>
  <si>
    <t>Mixed</t>
  </si>
  <si>
    <t>B. Sensing configuration x population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</si>
</sst>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7">
    <font>
      <sz val="11"/>
      <color theme="1"/>
      <name val="Calibri"/>
      <scheme val="minor"/>
    </font>
    <font>
      <b/>
      <sz val="11"/>
      <color rgb="FFFFFFFF"/>
      <name val="Arial"/>
    </font>
    <font>
      <sz val="11"/>
      <color theme="1"/>
      <name val="Calibri"/>
    </font>
    <font>
      <b/>
      <sz val="10"/>
      <color theme="1"/>
      <name val="Arial"/>
    </font>
    <font>
      <b/>
      <sz val="10"/>
      <color rgb="FFFFFFFF"/>
      <name val="Arial"/>
    </font>
    <font>
      <sz val="10"/>
      <color theme="1"/>
      <name val="Arial"/>
    </font>
    <font>
      <u/>
      <sz val="10"/>
      <color rgb="FF0000FF"/>
      <name val="Arial"/>
    </font>
    <font>
      <b/>
      <sz val="10"/>
      <color rgb="FF996600"/>
      <name val="Arial"/>
    </font>
    <font>
      <i/>
      <sz val="10"/>
      <color rgb="FF996600"/>
      <name val="Arial"/>
    </font>
    <font>
      <u/>
      <sz val="10"/>
      <color rgb="FF0000FF"/>
      <name val="Arial"/>
    </font>
    <font>
      <b/>
      <sz val="10"/>
      <color rgb="FFC74400"/>
      <name val="Arial"/>
    </font>
    <font>
      <u/>
      <sz val="10"/>
      <color rgb="FF0563C1"/>
      <name val="Arial"/>
    </font>
    <font>
      <b/>
      <sz val="10"/>
      <color rgb="FF004400"/>
      <name val="Arial"/>
    </font>
    <font>
      <b/>
      <sz val="10"/>
      <color rgb="FF1A5276"/>
      <name val="Arial"/>
    </font>
    <font>
      <b/>
      <sz val="10"/>
      <color rgb="FFCC0000"/>
      <name val="Arial"/>
    </font>
    <font>
      <b/>
      <sz val="10"/>
      <color rgb="FF006633"/>
      <name val="Arial"/>
    </font>
    <font>
      <b/>
      <sz val="10"/>
      <color rgb="FF6C3483"/>
      <name val="Arial"/>
    </font>
    <font>
      <u/>
      <sz val="10"/>
      <color rgb="FF0000FF"/>
      <name val="Arial"/>
    </font>
    <font>
      <u/>
      <sz val="10"/>
      <color rgb="FF0000FF"/>
      <name val="Arial"/>
    </font>
    <font>
      <b/>
      <sz val="10"/>
      <color rgb="FF006688"/>
      <name val="Arial"/>
    </font>
    <font>
      <b/>
      <sz val="10"/>
      <color rgb="FF555555"/>
      <name val="Arial"/>
    </font>
    <font>
      <b/>
      <sz val="11"/>
      <color theme="1"/>
      <name val="Arial"/>
    </font>
    <font>
      <sz val="11"/>
      <color theme="1"/>
      <name val="Arial"/>
    </font>
    <font>
      <u/>
      <sz val="11"/>
      <color rgb="FF0563C1"/>
      <name val="Arial"/>
    </font>
    <font>
      <i/>
      <sz val="11"/>
      <color rgb="FFCC0000"/>
      <name val="Arial"/>
    </font>
    <font>
      <u/>
      <sz val="10"/>
      <color rgb="FF0000FF"/>
      <name val="Arial"/>
    </font>
    <font>
      <u/>
      <sz val="11"/>
      <color rgb="FF0000FF"/>
      <name val="Arial"/>
    </font>
    <font>
      <u/>
      <sz val="11"/>
      <color rgb="FF0563C1"/>
      <name val="Arial"/>
    </font>
    <font>
      <b/>
      <sz val="14"/>
      <color rgb="FF2F4F7F"/>
      <name val="Arial"/>
    </font>
    <font>
      <b/>
      <sz val="10"/>
      <color rgb="FF1A6BAA"/>
      <name val="Arial"/>
    </font>
    <font>
      <b/>
      <sz val="10"/>
      <color rgb="FF1A8C4E"/>
      <name val="Arial"/>
    </font>
    <font>
      <b/>
      <sz val="12"/>
      <color theme="1"/>
      <name val="Arial"/>
    </font>
    <font>
      <b/>
      <sz val="11"/>
      <color theme="0"/>
      <name val="Calibri"/>
    </font>
    <font>
      <sz val="11"/>
      <color rgb="FF000000"/>
      <name val="Arial"/>
    </font>
    <font>
      <u/>
      <sz val="11"/>
      <color rgb="FF000000"/>
      <name val="Arial"/>
    </font>
    <font>
      <b/>
      <sz val="11"/>
      <color rgb="FF996600"/>
      <name val="Arial"/>
    </font>
    <font>
      <u/>
      <sz val="11"/>
      <color rgb="FF0563C1"/>
      <name val="Arial"/>
    </font>
    <font>
      <sz val="11"/>
      <color rgb="FF9C0006"/>
      <name val="Calibri"/>
    </font>
    <font>
      <sz val="11"/>
      <color rgb="FF000000"/>
      <name val="Calibri"/>
    </font>
    <font>
      <u/>
      <sz val="11"/>
      <color rgb="FF000000"/>
      <name val="Calibri"/>
    </font>
    <font>
      <b/>
      <sz val="13"/>
      <color rgb="FFFFFFFF"/>
      <name val="Arial"/>
    </font>
    <font>
      <sz val="11"/>
      <name val="Calibri"/>
    </font>
    <font>
      <sz val="10"/>
      <color rgb="FF000000"/>
      <name val="Calibri"/>
    </font>
    <font>
      <sz val="9"/>
      <color theme="1"/>
      <name val="Arial"/>
    </font>
    <font>
      <b/>
      <sz val="11"/>
      <color rgb="FF1F4E79"/>
      <name val="Arial"/>
    </font>
    <font>
      <b/>
      <sz val="9"/>
      <color theme="1"/>
      <name val="Arial"/>
    </font>
    <font>
      <b/>
      <sz val="14"/>
      <color rgb="FFFFFFFF"/>
      <name val="Arial"/>
    </font>
    <font>
      <i/>
      <sz val="10"/>
      <color theme="1"/>
      <name val="Arial"/>
    </font>
    <font>
      <b/>
      <sz val="9"/>
      <color rgb="FFFFFFFF"/>
      <name val="Arial"/>
    </font>
    <font>
      <i/>
      <sz val="9"/>
      <color theme="1"/>
      <name val="Arial"/>
    </font>
    <font>
      <sz val="9"/>
      <color rgb="FF000000"/>
      <name val="Arial"/>
    </font>
    <font>
      <b/>
      <sz val="9"/>
      <color rgb="FF000000"/>
      <name val="Arial"/>
    </font>
    <font>
      <b/>
      <sz val="11"/>
      <color rgb="FFFFFFFF"/>
      <name val="Arial"/>
    </font>
    <font>
      <b/>
      <sz val="11"/>
      <color theme="1"/>
      <name val="Arial"/>
    </font>
    <font>
      <sz val="11"/>
      <color theme="1"/>
      <name val="Arial"/>
    </font>
    <font>
      <sz val="11"/>
      <color rgb="FFFFFFFF"/>
      <name val="Arial"/>
    </font>
    <font>
      <sz val="9"/>
      <color rgb="FFFFFFFF"/>
      <name val="Arial"/>
    </font>
    <font>
      <sz val="10"/>
      <color rgb="FF000000"/>
      <name val="Arial"/>
    </font>
    <font>
      <b/>
      <sz val="10"/>
      <color rgb="FF000000"/>
      <name val="Arial"/>
    </font>
    <font>
      <sz val="10"/>
      <color rgb="FFFFFFFF"/>
      <name val="Arial"/>
    </font>
    <font>
      <b/>
      <sz val="10"/>
      <color rgb="FF1F3864"/>
      <name val="Arial"/>
    </font>
    <font>
      <b/>
      <sz val="12"/>
      <color rgb="FFFFFFFF"/>
      <name val="Arial"/>
    </font>
    <font>
      <i/>
      <sz val="9"/>
      <color rgb="FF7F7F7F"/>
      <name val="Arial"/>
    </font>
    <font>
      <b/>
      <sz val="11"/>
      <color rgb="FF0F1115"/>
      <name val="Quote-cjk-patch"/>
    </font>
    <font>
      <sz val="11"/>
      <color rgb="FF0F1115"/>
      <name val="Quote-cjk-patch"/>
    </font>
    <font>
      <sz val="12"/>
      <color rgb="FF81858C"/>
      <name val="Quote-cjk-patch"/>
    </font>
    <font>
      <i/>
      <sz val="9"/>
      <color rgb="FF5A5A5A"/>
      <name val="Arial"/>
    </font>
    <font>
      <b/>
      <sz val="11"/>
      <color theme="1"/>
      <name val="Calibri"/>
      <family val="2"/>
      <scheme val="minor"/>
    </font>
    <font>
      <strike/>
      <sz val="9"/>
      <color theme="1"/>
      <name val="Arial"/>
      <family val="2"/>
    </font>
    <font>
      <b/>
      <strike/>
      <sz val="11"/>
      <color theme="1"/>
      <name val="Arial"/>
      <family val="2"/>
    </font>
    <font>
      <strike/>
      <sz val="11"/>
      <color theme="1"/>
      <name val="Calibri"/>
      <family val="2"/>
    </font>
    <font>
      <b/>
      <strike/>
      <sz val="9"/>
      <color theme="1"/>
      <name val="Arial"/>
      <family val="2"/>
    </font>
    <font>
      <strike/>
      <sz val="11"/>
      <color theme="1"/>
      <name val="Calibri"/>
      <family val="2"/>
      <scheme val="minor"/>
    </font>
    <font>
      <strike/>
      <sz val="9"/>
      <color rgb="FF000000"/>
      <name val="Arial"/>
      <family val="2"/>
    </font>
    <font>
      <b/>
      <strike/>
      <sz val="9"/>
      <color rgb="FF000000"/>
      <name val="Arial"/>
      <family val="2"/>
    </font>
    <font>
      <strike/>
      <sz val="10"/>
      <color rgb="FF000000"/>
      <name val="Calibri"/>
      <family val="2"/>
    </font>
    <font>
      <b/>
      <sz val="10"/>
      <color rgb="FF000000"/>
      <name val="Calibri"/>
      <family val="2"/>
    </font>
  </fonts>
  <fills count="103">
    <fill>
      <patternFill patternType="none"/>
    </fill>
    <fill>
      <patternFill patternType="gray125"/>
    </fill>
    <fill>
      <patternFill patternType="solid">
        <fgColor rgb="FF2F4F7F"/>
        <bgColor rgb="FF2F4F7F"/>
      </patternFill>
    </fill>
    <fill>
      <patternFill patternType="solid">
        <fgColor rgb="FF5F2F81"/>
        <bgColor rgb="FF5F2F81"/>
      </patternFill>
    </fill>
    <fill>
      <patternFill patternType="solid">
        <fgColor rgb="FFD6E4F8"/>
        <bgColor rgb="FFD6E4F8"/>
      </patternFill>
    </fill>
    <fill>
      <patternFill patternType="solid">
        <fgColor rgb="FF0A68BB"/>
        <bgColor rgb="FF0A68BB"/>
      </patternFill>
    </fill>
    <fill>
      <patternFill patternType="solid">
        <fgColor rgb="FFFFF5CC"/>
        <bgColor rgb="FFFFF5CC"/>
      </patternFill>
    </fill>
    <fill>
      <patternFill patternType="solid">
        <fgColor rgb="FFEBF3FC"/>
        <bgColor rgb="FFEBF3FC"/>
      </patternFill>
    </fill>
    <fill>
      <patternFill patternType="solid">
        <fgColor rgb="FFFEE9D9"/>
        <bgColor rgb="FFFEE9D9"/>
      </patternFill>
    </fill>
    <fill>
      <patternFill patternType="solid">
        <fgColor rgb="FFFFFBE6"/>
        <bgColor rgb="FFFFFBE6"/>
      </patternFill>
    </fill>
    <fill>
      <patternFill patternType="solid">
        <fgColor rgb="FFD6FBE4"/>
        <bgColor rgb="FFD6FBE4"/>
      </patternFill>
    </fill>
    <fill>
      <patternFill patternType="solid">
        <fgColor rgb="FFD7F4FE"/>
        <bgColor rgb="FFD7F4FE"/>
      </patternFill>
    </fill>
    <fill>
      <patternFill patternType="solid">
        <fgColor rgb="FFFFF2CE"/>
        <bgColor rgb="FFFFF2CE"/>
      </patternFill>
    </fill>
    <fill>
      <patternFill patternType="solid">
        <fgColor rgb="FFFFD7D7"/>
        <bgColor rgb="FFFFD7D7"/>
      </patternFill>
    </fill>
    <fill>
      <patternFill patternType="solid">
        <fgColor rgb="FFF0D2EC"/>
        <bgColor rgb="FFF0D2EC"/>
      </patternFill>
    </fill>
    <fill>
      <patternFill patternType="solid">
        <fgColor rgb="FF237F95"/>
        <bgColor rgb="FF237F95"/>
      </patternFill>
    </fill>
    <fill>
      <patternFill patternType="solid">
        <fgColor rgb="FFEBF7F1"/>
        <bgColor rgb="FFEBF7F1"/>
      </patternFill>
    </fill>
    <fill>
      <patternFill patternType="solid">
        <fgColor rgb="FFF6F2F2"/>
        <bgColor rgb="FFF6F2F2"/>
      </patternFill>
    </fill>
    <fill>
      <patternFill patternType="solid">
        <fgColor rgb="FFF4CCCC"/>
        <bgColor rgb="FFF4CCCC"/>
      </patternFill>
    </fill>
    <fill>
      <patternFill patternType="solid">
        <fgColor rgb="FFE4938A"/>
        <bgColor rgb="FFE4938A"/>
      </patternFill>
    </fill>
    <fill>
      <patternFill patternType="solid">
        <fgColor rgb="FFFCE5CD"/>
        <bgColor rgb="FFFCE5CD"/>
      </patternFill>
    </fill>
    <fill>
      <patternFill patternType="solid">
        <fgColor rgb="FFEA9999"/>
        <bgColor rgb="FFEA9999"/>
      </patternFill>
    </fill>
    <fill>
      <patternFill patternType="solid">
        <fgColor rgb="FFFFC7CE"/>
        <bgColor rgb="FFFFC7CE"/>
      </patternFill>
    </fill>
    <fill>
      <patternFill patternType="solid">
        <fgColor rgb="FF1F4E79"/>
        <bgColor rgb="FF1F4E79"/>
      </patternFill>
    </fill>
    <fill>
      <patternFill patternType="solid">
        <fgColor rgb="FF2E75B6"/>
        <bgColor rgb="FF2E75B6"/>
      </patternFill>
    </fill>
    <fill>
      <patternFill patternType="solid">
        <fgColor rgb="FFD6E4F0"/>
        <bgColor rgb="FFD6E4F0"/>
      </patternFill>
    </fill>
    <fill>
      <patternFill patternType="solid">
        <fgColor rgb="FFDDEEF8"/>
        <bgColor rgb="FFDDEEF8"/>
      </patternFill>
    </fill>
    <fill>
      <patternFill patternType="solid">
        <fgColor rgb="FFE2EFDA"/>
        <bgColor rgb="FFE2EFDA"/>
      </patternFill>
    </fill>
    <fill>
      <patternFill patternType="solid">
        <fgColor rgb="FFFFF3CC"/>
        <bgColor rgb="FFFFF3CC"/>
      </patternFill>
    </fill>
    <fill>
      <patternFill patternType="solid">
        <fgColor rgb="FFFCE4D6"/>
        <bgColor rgb="FFFCE4D6"/>
      </patternFill>
    </fill>
    <fill>
      <patternFill patternType="solid">
        <fgColor rgb="FFF0E0F7"/>
        <bgColor rgb="FFF0E0F7"/>
      </patternFill>
    </fill>
    <fill>
      <patternFill patternType="solid">
        <fgColor rgb="FFE8E8E8"/>
        <bgColor rgb="FFE8E8E8"/>
      </patternFill>
    </fill>
    <fill>
      <patternFill patternType="solid">
        <fgColor rgb="FF2E5593"/>
        <bgColor rgb="FF2E5593"/>
      </patternFill>
    </fill>
    <fill>
      <patternFill patternType="solid">
        <fgColor rgb="FF183A3E"/>
        <bgColor rgb="FF183A3E"/>
      </patternFill>
    </fill>
    <fill>
      <patternFill patternType="solid">
        <fgColor rgb="FFF5F8FF"/>
        <bgColor rgb="FFF5F8FF"/>
      </patternFill>
    </fill>
    <fill>
      <patternFill patternType="solid">
        <fgColor rgb="FFFFEB9C"/>
        <bgColor rgb="FFFFEB9C"/>
      </patternFill>
    </fill>
    <fill>
      <patternFill patternType="solid">
        <fgColor rgb="FFFFFFFF"/>
        <bgColor rgb="FFFFFFFF"/>
      </patternFill>
    </fill>
    <fill>
      <patternFill patternType="solid">
        <fgColor rgb="FFC6EFCE"/>
        <bgColor rgb="FFC6EFCE"/>
      </patternFill>
    </fill>
    <fill>
      <patternFill patternType="solid">
        <fgColor rgb="FFDDEBDA"/>
        <bgColor rgb="FFDDEBDA"/>
      </patternFill>
    </fill>
    <fill>
      <patternFill patternType="solid">
        <fgColor rgb="FFD9E1F2"/>
        <bgColor rgb="FFD9E1F2"/>
      </patternFill>
    </fill>
    <fill>
      <patternFill patternType="solid">
        <fgColor rgb="FFF8F9FC"/>
        <bgColor rgb="FFF8F9FC"/>
      </patternFill>
    </fill>
    <fill>
      <patternFill patternType="solid">
        <fgColor rgb="FFB8CCE4"/>
        <bgColor rgb="FFB8CCE4"/>
      </patternFill>
    </fill>
    <fill>
      <patternFill patternType="solid">
        <fgColor rgb="FFEDEDED"/>
        <bgColor rgb="FFEDEDED"/>
      </patternFill>
    </fill>
    <fill>
      <patternFill patternType="solid">
        <fgColor rgb="FFDCE6F1"/>
        <bgColor rgb="FFDCE6F1"/>
      </patternFill>
    </fill>
    <fill>
      <patternFill patternType="solid">
        <fgColor rgb="FF76933C"/>
        <bgColor rgb="FF76933C"/>
      </patternFill>
    </fill>
    <fill>
      <patternFill patternType="solid">
        <fgColor rgb="FFEBF1DE"/>
        <bgColor rgb="FFEBF1DE"/>
      </patternFill>
    </fill>
    <fill>
      <patternFill patternType="solid">
        <fgColor rgb="FFD9D9D9"/>
        <bgColor rgb="FFD9D9D9"/>
      </patternFill>
    </fill>
    <fill>
      <patternFill patternType="solid">
        <fgColor rgb="FFFAFAFA"/>
        <bgColor rgb="FFFAFAFA"/>
      </patternFill>
    </fill>
    <fill>
      <patternFill patternType="solid">
        <fgColor rgb="FFF9FBFF"/>
        <bgColor rgb="FFF9FBFF"/>
      </patternFill>
    </fill>
    <fill>
      <patternFill patternType="solid">
        <fgColor rgb="FFD9EAD3"/>
        <bgColor rgb="FFD9EAD3"/>
      </patternFill>
    </fill>
    <fill>
      <patternFill patternType="solid">
        <fgColor rgb="FFFDE9D9"/>
        <bgColor rgb="FFFDE9D9"/>
      </patternFill>
    </fill>
    <fill>
      <patternFill patternType="solid">
        <fgColor rgb="FFE2E2F0"/>
        <bgColor rgb="FFE2E2F0"/>
      </patternFill>
    </fill>
    <fill>
      <patternFill patternType="solid">
        <fgColor rgb="FFF2DCDB"/>
        <bgColor rgb="FFF2DCDB"/>
      </patternFill>
    </fill>
    <fill>
      <patternFill patternType="solid">
        <fgColor rgb="FFFFF0F0"/>
        <bgColor rgb="FFFFF0F0"/>
      </patternFill>
    </fill>
    <fill>
      <patternFill patternType="solid">
        <fgColor indexed="10"/>
        <bgColor rgb="FFFFFFFF"/>
      </patternFill>
    </fill>
    <fill>
      <patternFill patternType="solid">
        <fgColor indexed="10"/>
        <bgColor rgb="FFC6EFCE"/>
      </patternFill>
    </fill>
    <fill>
      <patternFill patternType="solid">
        <fgColor indexed="10"/>
        <bgColor rgb="FFFFEB9C"/>
      </patternFill>
    </fill>
    <fill>
      <patternFill patternType="solid">
        <fgColor indexed="10"/>
        <bgColor rgb="FFFFC7CE"/>
      </patternFill>
    </fill>
    <fill>
      <patternFill patternType="solid">
        <fgColor indexed="10"/>
        <bgColor rgb="FFDDEBDA"/>
      </patternFill>
    </fill>
    <fill>
      <patternFill patternType="solid">
        <fgColor indexed="10"/>
        <bgColor indexed="64"/>
      </patternFill>
    </fill>
    <fill>
      <patternFill patternType="solid">
        <fgColor indexed="10"/>
        <bgColor rgb="FFF5F8FF"/>
      </patternFill>
    </fill>
    <fill>
      <patternFill patternType="solid">
        <fgColor indexed="10"/>
        <bgColor rgb="FFDCE6F1"/>
      </patternFill>
    </fill>
    <fill>
      <patternFill patternType="solid">
        <fgColor indexed="10"/>
        <bgColor rgb="FFFDE9D9"/>
      </patternFill>
    </fill>
    <fill>
      <patternFill patternType="solid">
        <fgColor indexed="10"/>
        <bgColor rgb="FFF9FBFF"/>
      </patternFill>
    </fill>
    <fill>
      <patternFill patternType="solid">
        <fgColor indexed="10"/>
        <bgColor rgb="FFE2EFDA"/>
      </patternFill>
    </fill>
    <fill>
      <patternFill patternType="solid">
        <fgColor indexed="10"/>
        <bgColor rgb="FFFFF2CE"/>
      </patternFill>
    </fill>
    <fill>
      <patternFill patternType="solid">
        <fgColor indexed="10"/>
        <bgColor rgb="FFEDEDED"/>
      </patternFill>
    </fill>
    <fill>
      <patternFill patternType="solid">
        <fgColor indexed="10"/>
        <bgColor rgb="FFD6E4F0"/>
      </patternFill>
    </fill>
    <fill>
      <patternFill patternType="solid">
        <fgColor indexed="13"/>
        <bgColor rgb="FFFFF3CC"/>
      </patternFill>
    </fill>
    <fill>
      <patternFill patternType="solid">
        <fgColor indexed="13"/>
        <bgColor indexed="64"/>
      </patternFill>
    </fill>
    <fill>
      <patternFill patternType="solid">
        <fgColor indexed="13"/>
        <bgColor rgb="FF538135"/>
      </patternFill>
    </fill>
    <fill>
      <patternFill patternType="solid">
        <fgColor indexed="13"/>
        <bgColor rgb="FFC00000"/>
      </patternFill>
    </fill>
    <fill>
      <patternFill patternType="solid">
        <fgColor indexed="13"/>
        <bgColor rgb="FF7B2D8B"/>
      </patternFill>
    </fill>
    <fill>
      <patternFill patternType="solid">
        <fgColor indexed="13"/>
        <bgColor rgb="FFE06C2A"/>
      </patternFill>
    </fill>
    <fill>
      <patternFill patternType="solid">
        <fgColor indexed="13"/>
        <bgColor rgb="FF2E75B6"/>
      </patternFill>
    </fill>
    <fill>
      <patternFill patternType="solid">
        <fgColor indexed="13"/>
        <bgColor rgb="FFFFB800"/>
      </patternFill>
    </fill>
    <fill>
      <patternFill patternType="solid">
        <fgColor indexed="13"/>
        <bgColor rgb="FF1F4E79"/>
      </patternFill>
    </fill>
    <fill>
      <patternFill patternType="solid">
        <fgColor indexed="13"/>
        <bgColor rgb="FF595959"/>
      </patternFill>
    </fill>
    <fill>
      <patternFill patternType="solid">
        <fgColor indexed="13"/>
        <bgColor rgb="FFD6E4F0"/>
      </patternFill>
    </fill>
    <fill>
      <patternFill patternType="solid">
        <fgColor indexed="13"/>
        <bgColor rgb="FFDDEEF8"/>
      </patternFill>
    </fill>
    <fill>
      <patternFill patternType="solid">
        <fgColor indexed="13"/>
        <bgColor rgb="FFE2EFDA"/>
      </patternFill>
    </fill>
    <fill>
      <patternFill patternType="solid">
        <fgColor indexed="13"/>
        <bgColor rgb="FFFCE4D6"/>
      </patternFill>
    </fill>
    <fill>
      <patternFill patternType="solid">
        <fgColor indexed="13"/>
        <bgColor rgb="FFFFD7D7"/>
      </patternFill>
    </fill>
    <fill>
      <patternFill patternType="solid">
        <fgColor indexed="13"/>
        <bgColor rgb="FFF0E0F7"/>
      </patternFill>
    </fill>
    <fill>
      <patternFill patternType="solid">
        <fgColor indexed="13"/>
        <bgColor rgb="FFE8E8E8"/>
      </patternFill>
    </fill>
    <fill>
      <patternFill patternType="solid">
        <fgColor indexed="13"/>
        <bgColor rgb="FFFEE9D9"/>
      </patternFill>
    </fill>
    <fill>
      <patternFill patternType="solid">
        <fgColor indexed="13"/>
        <bgColor rgb="FFFFF2CE"/>
      </patternFill>
    </fill>
    <fill>
      <patternFill patternType="solid">
        <fgColor indexed="13"/>
        <bgColor rgb="FF76933C"/>
      </patternFill>
    </fill>
    <fill>
      <patternFill patternType="solid">
        <fgColor indexed="13"/>
        <bgColor rgb="FFB8CCE4"/>
      </patternFill>
    </fill>
    <fill>
      <patternFill patternType="solid">
        <fgColor indexed="13"/>
        <bgColor rgb="FFDCE6F1"/>
      </patternFill>
    </fill>
    <fill>
      <patternFill patternType="solid">
        <fgColor indexed="13"/>
        <bgColor rgb="FFEDEDED"/>
      </patternFill>
    </fill>
    <fill>
      <patternFill patternType="solid">
        <fgColor indexed="13"/>
        <bgColor rgb="FFEBF1DE"/>
      </patternFill>
    </fill>
    <fill>
      <patternFill patternType="solid">
        <fgColor indexed="13"/>
        <bgColor rgb="FFD9D9D9"/>
      </patternFill>
    </fill>
    <fill>
      <patternFill patternType="solid">
        <fgColor indexed="13"/>
        <bgColor rgb="FF183A3E"/>
      </patternFill>
    </fill>
    <fill>
      <patternFill patternType="solid">
        <fgColor indexed="13"/>
        <bgColor rgb="FFD9E1F2"/>
      </patternFill>
    </fill>
    <fill>
      <patternFill patternType="solid">
        <fgColor indexed="13"/>
        <bgColor rgb="FFC6EFCE"/>
      </patternFill>
    </fill>
    <fill>
      <patternFill patternType="solid">
        <fgColor indexed="13"/>
        <bgColor rgb="FFFFEB9C"/>
      </patternFill>
    </fill>
    <fill>
      <patternFill patternType="solid">
        <fgColor indexed="13"/>
        <bgColor rgb="FFFFC7CE"/>
      </patternFill>
    </fill>
    <fill>
      <patternFill patternType="solid">
        <fgColor indexed="13"/>
        <bgColor rgb="FFF2DCDB"/>
      </patternFill>
    </fill>
    <fill>
      <patternFill patternType="solid">
        <fgColor indexed="13"/>
        <bgColor rgb="FFFFF0F0"/>
      </patternFill>
    </fill>
    <fill>
      <patternFill patternType="solid">
        <fgColor indexed="13"/>
        <bgColor rgb="FFFDE9D9"/>
      </patternFill>
    </fill>
    <fill>
      <patternFill patternType="solid">
        <fgColor indexed="13"/>
        <bgColor rgb="FFE2E2F0"/>
      </patternFill>
    </fill>
    <fill>
      <patternFill patternType="solid">
        <fgColor indexed="13"/>
        <bgColor rgb="FFD9EAD3"/>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style="medium">
        <color rgb="FF555555"/>
      </left>
      <right/>
      <top style="medium">
        <color rgb="FF555555"/>
      </top>
      <bottom style="medium">
        <color rgb="FF555555"/>
      </bottom>
      <diagonal/>
    </border>
    <border>
      <left/>
      <right/>
      <top style="medium">
        <color rgb="FF555555"/>
      </top>
      <bottom style="medium">
        <color rgb="FF555555"/>
      </bottom>
      <diagonal/>
    </border>
    <border>
      <left/>
      <right style="medium">
        <color rgb="FF555555"/>
      </right>
      <top style="medium">
        <color rgb="FF555555"/>
      </top>
      <bottom style="medium">
        <color rgb="FF555555"/>
      </bottom>
      <diagonal/>
    </border>
    <border>
      <left style="thin">
        <color rgb="FFBDBDBD"/>
      </left>
      <right style="thin">
        <color rgb="FFBDBDBD"/>
      </right>
      <top style="thin">
        <color rgb="FFBDBDBD"/>
      </top>
      <bottom style="thin">
        <color rgb="FFBDBDBD"/>
      </bottom>
      <diagonal/>
    </border>
    <border>
      <left style="thin">
        <color rgb="FFBDBDBD"/>
      </left>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right/>
      <top style="thin">
        <color rgb="FFBDBDBD"/>
      </top>
      <bottom style="thin">
        <color rgb="FFBDBDBD"/>
      </bottom>
      <diagonal/>
    </border>
    <border>
      <left/>
      <right/>
      <top/>
      <bottom style="thin">
        <color rgb="FF000000"/>
      </bottom>
      <diagonal/>
    </border>
  </borders>
  <cellStyleXfs count="1">
    <xf numFmtId="0" fontId="0" fillId="0" borderId="0"/>
  </cellStyleXfs>
  <cellXfs count="389">
    <xf numFmtId="0" fontId="0" fillId="0" borderId="0" xfId="0" applyFont="1" applyAlignment="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0" xfId="0" applyFont="1"/>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vertical="center" wrapText="1"/>
    </xf>
    <xf numFmtId="0" fontId="6" fillId="4" borderId="1" xfId="0" applyFont="1" applyFill="1" applyBorder="1" applyAlignment="1">
      <alignment vertical="center" wrapText="1"/>
    </xf>
    <xf numFmtId="0" fontId="7" fillId="6" borderId="1" xfId="0" applyFont="1" applyFill="1" applyBorder="1" applyAlignment="1">
      <alignment horizontal="center" vertical="center" wrapText="1"/>
    </xf>
    <xf numFmtId="0" fontId="8" fillId="6" borderId="1" xfId="0" applyFont="1" applyFill="1" applyBorder="1" applyAlignment="1">
      <alignment vertical="center" wrapText="1"/>
    </xf>
    <xf numFmtId="0" fontId="3"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vertical="center" wrapText="1"/>
    </xf>
    <xf numFmtId="0" fontId="9" fillId="7" borderId="1" xfId="0" applyFont="1" applyFill="1" applyBorder="1" applyAlignment="1">
      <alignment vertical="center" wrapText="1"/>
    </xf>
    <xf numFmtId="0" fontId="10" fillId="8" borderId="1" xfId="0" applyFont="1" applyFill="1" applyBorder="1" applyAlignment="1">
      <alignment horizontal="center" vertical="center" wrapText="1"/>
    </xf>
    <xf numFmtId="0" fontId="11" fillId="9" borderId="1" xfId="0" applyFont="1" applyFill="1" applyBorder="1" applyAlignment="1">
      <alignment vertical="center" wrapText="1"/>
    </xf>
    <xf numFmtId="0" fontId="12" fillId="10"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6" fillId="14"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0" borderId="1" xfId="0" applyFont="1" applyFill="1" applyBorder="1" applyAlignment="1">
      <alignment vertical="center" wrapText="1"/>
    </xf>
    <xf numFmtId="0" fontId="17" fillId="10" borderId="1" xfId="0" applyFont="1" applyFill="1" applyBorder="1" applyAlignment="1">
      <alignment vertical="center" wrapText="1"/>
    </xf>
    <xf numFmtId="0" fontId="3" fillId="16" borderId="1" xfId="0" applyFont="1" applyFill="1" applyBorder="1" applyAlignment="1">
      <alignment horizontal="center" vertical="center" wrapText="1"/>
    </xf>
    <xf numFmtId="0" fontId="5" fillId="16" borderId="1" xfId="0" applyFont="1" applyFill="1" applyBorder="1" applyAlignment="1">
      <alignment horizontal="center" vertical="center" wrapText="1"/>
    </xf>
    <xf numFmtId="0" fontId="5" fillId="16" borderId="1" xfId="0" applyFont="1" applyFill="1" applyBorder="1" applyAlignment="1">
      <alignment vertical="center" wrapText="1"/>
    </xf>
    <xf numFmtId="0" fontId="18" fillId="16" borderId="1" xfId="0" applyFont="1" applyFill="1" applyBorder="1" applyAlignment="1">
      <alignment vertical="center" wrapText="1"/>
    </xf>
    <xf numFmtId="0" fontId="19" fillId="11" borderId="1" xfId="0" applyFont="1" applyFill="1" applyBorder="1" applyAlignment="1">
      <alignment horizontal="center" vertical="center" wrapText="1"/>
    </xf>
    <xf numFmtId="0" fontId="20" fillId="17"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2" fillId="18" borderId="2" xfId="0" applyFont="1" applyFill="1" applyBorder="1" applyAlignment="1">
      <alignment horizontal="center" vertical="center"/>
    </xf>
    <xf numFmtId="0" fontId="22" fillId="18" borderId="1" xfId="0" applyFont="1" applyFill="1" applyBorder="1" applyAlignment="1">
      <alignment vertical="center" wrapText="1"/>
    </xf>
    <xf numFmtId="0" fontId="5" fillId="18" borderId="1" xfId="0" applyFont="1" applyFill="1" applyBorder="1" applyAlignment="1">
      <alignment vertical="center" wrapText="1"/>
    </xf>
    <xf numFmtId="0" fontId="7" fillId="18" borderId="1" xfId="0" applyFont="1" applyFill="1" applyBorder="1" applyAlignment="1">
      <alignment horizontal="center" vertical="center" wrapText="1"/>
    </xf>
    <xf numFmtId="0" fontId="23" fillId="18" borderId="1" xfId="0" applyFont="1" applyFill="1" applyBorder="1" applyAlignment="1">
      <alignment vertical="center" wrapText="1"/>
    </xf>
    <xf numFmtId="0" fontId="2" fillId="18" borderId="2" xfId="0" applyFont="1" applyFill="1" applyBorder="1"/>
    <xf numFmtId="0" fontId="2" fillId="0" borderId="0" xfId="0" applyFont="1" applyAlignment="1">
      <alignment vertical="center"/>
    </xf>
    <xf numFmtId="0" fontId="4" fillId="19" borderId="1" xfId="0" applyFont="1" applyFill="1" applyBorder="1" applyAlignment="1">
      <alignment horizontal="center" vertical="center" wrapText="1"/>
    </xf>
    <xf numFmtId="0" fontId="21" fillId="16" borderId="1" xfId="0" applyFont="1" applyFill="1" applyBorder="1" applyAlignment="1">
      <alignment horizontal="center" vertical="center" wrapText="1"/>
    </xf>
    <xf numFmtId="0" fontId="2" fillId="0" borderId="0" xfId="0" applyFont="1" applyAlignment="1">
      <alignment horizontal="center" vertical="center"/>
    </xf>
    <xf numFmtId="0" fontId="22" fillId="16" borderId="1" xfId="0" applyFont="1" applyFill="1" applyBorder="1" applyAlignment="1">
      <alignment vertical="center" wrapText="1"/>
    </xf>
    <xf numFmtId="0" fontId="24" fillId="17" borderId="1" xfId="0" applyFont="1" applyFill="1" applyBorder="1" applyAlignment="1">
      <alignment vertical="center" wrapText="1"/>
    </xf>
    <xf numFmtId="0" fontId="2" fillId="18" borderId="2" xfId="0" applyFont="1" applyFill="1" applyBorder="1" applyAlignment="1">
      <alignment vertical="center"/>
    </xf>
    <xf numFmtId="0" fontId="25" fillId="18" borderId="1" xfId="0" applyFont="1" applyFill="1" applyBorder="1" applyAlignment="1">
      <alignment vertical="center" wrapText="1"/>
    </xf>
    <xf numFmtId="0" fontId="13" fillId="18" borderId="1" xfId="0" applyFont="1" applyFill="1" applyBorder="1" applyAlignment="1">
      <alignment horizontal="center" vertical="center" wrapText="1"/>
    </xf>
    <xf numFmtId="0" fontId="26" fillId="18" borderId="1" xfId="0" applyFont="1" applyFill="1" applyBorder="1" applyAlignment="1">
      <alignment vertical="center" wrapText="1"/>
    </xf>
    <xf numFmtId="0" fontId="27" fillId="9" borderId="1" xfId="0" applyFont="1" applyFill="1" applyBorder="1" applyAlignment="1">
      <alignment vertical="center" wrapText="1"/>
    </xf>
    <xf numFmtId="0" fontId="1" fillId="2" borderId="2" xfId="0" applyFont="1" applyFill="1" applyBorder="1" applyAlignment="1">
      <alignment horizontal="center" vertical="center"/>
    </xf>
    <xf numFmtId="0" fontId="29" fillId="4" borderId="2" xfId="0" applyFont="1" applyFill="1" applyBorder="1"/>
    <xf numFmtId="0" fontId="5" fillId="4" borderId="2" xfId="0" applyFont="1" applyFill="1" applyBorder="1"/>
    <xf numFmtId="0" fontId="30" fillId="10" borderId="2" xfId="0" applyFont="1" applyFill="1" applyBorder="1"/>
    <xf numFmtId="0" fontId="5" fillId="10" borderId="2" xfId="0" applyFont="1" applyFill="1" applyBorder="1"/>
    <xf numFmtId="0" fontId="2" fillId="20" borderId="2" xfId="0" applyFont="1" applyFill="1" applyBorder="1"/>
    <xf numFmtId="0" fontId="5" fillId="20" borderId="2" xfId="0" applyFont="1" applyFill="1" applyBorder="1"/>
    <xf numFmtId="0" fontId="31" fillId="0" borderId="0" xfId="0" applyFont="1"/>
    <xf numFmtId="0" fontId="2" fillId="4" borderId="2" xfId="0" applyFont="1" applyFill="1" applyBorder="1"/>
    <xf numFmtId="0" fontId="2" fillId="10" borderId="2" xfId="0" applyFont="1" applyFill="1" applyBorder="1"/>
    <xf numFmtId="0" fontId="3" fillId="21" borderId="1" xfId="0" applyFont="1" applyFill="1" applyBorder="1" applyAlignment="1">
      <alignment horizontal="center" vertical="center" wrapText="1"/>
    </xf>
    <xf numFmtId="0" fontId="4" fillId="21" borderId="1" xfId="0" applyFont="1" applyFill="1" applyBorder="1" applyAlignment="1">
      <alignment horizontal="center" vertical="center" wrapText="1"/>
    </xf>
    <xf numFmtId="0" fontId="5" fillId="21" borderId="1" xfId="0" applyFont="1" applyFill="1" applyBorder="1" applyAlignment="1">
      <alignment horizontal="center" vertical="center" wrapText="1"/>
    </xf>
    <xf numFmtId="0" fontId="5" fillId="21" borderId="1" xfId="0" applyFont="1" applyFill="1" applyBorder="1" applyAlignment="1">
      <alignment vertical="center" wrapText="1"/>
    </xf>
    <xf numFmtId="0" fontId="7" fillId="21" borderId="1" xfId="0" applyFont="1" applyFill="1" applyBorder="1" applyAlignment="1">
      <alignment horizontal="center" vertical="center" wrapText="1"/>
    </xf>
    <xf numFmtId="0" fontId="8" fillId="21" borderId="1" xfId="0" applyFont="1" applyFill="1" applyBorder="1" applyAlignment="1">
      <alignment vertical="center" wrapText="1"/>
    </xf>
    <xf numFmtId="0" fontId="2" fillId="21" borderId="2" xfId="0" applyFont="1" applyFill="1" applyBorder="1"/>
    <xf numFmtId="0" fontId="2" fillId="18" borderId="1" xfId="0" applyFont="1" applyFill="1" applyBorder="1" applyAlignment="1">
      <alignment horizontal="center" vertical="center" wrapText="1"/>
    </xf>
    <xf numFmtId="0" fontId="32" fillId="19" borderId="1" xfId="0" applyFont="1" applyFill="1" applyBorder="1" applyAlignment="1">
      <alignment horizontal="center" vertical="center" wrapText="1"/>
    </xf>
    <xf numFmtId="0" fontId="2" fillId="18" borderId="1" xfId="0" applyFont="1" applyFill="1" applyBorder="1" applyAlignment="1">
      <alignment horizontal="center" vertical="center"/>
    </xf>
    <xf numFmtId="0" fontId="2" fillId="18" borderId="1" xfId="0" applyFont="1" applyFill="1" applyBorder="1" applyAlignment="1">
      <alignment vertical="center" wrapText="1"/>
    </xf>
    <xf numFmtId="0" fontId="33" fillId="18" borderId="1" xfId="0" applyFont="1" applyFill="1" applyBorder="1" applyAlignment="1">
      <alignment vertical="center"/>
    </xf>
    <xf numFmtId="0" fontId="34" fillId="18" borderId="1" xfId="0" applyFont="1" applyFill="1" applyBorder="1" applyAlignment="1">
      <alignment vertical="center"/>
    </xf>
    <xf numFmtId="0" fontId="35" fillId="18" borderId="1" xfId="0" applyFont="1" applyFill="1" applyBorder="1" applyAlignment="1">
      <alignment horizontal="center" vertical="center"/>
    </xf>
    <xf numFmtId="0" fontId="36" fillId="18" borderId="1" xfId="0" applyFont="1" applyFill="1" applyBorder="1" applyAlignment="1">
      <alignment vertical="center"/>
    </xf>
    <xf numFmtId="0" fontId="37" fillId="22" borderId="2" xfId="0" applyFont="1" applyFill="1" applyBorder="1"/>
    <xf numFmtId="0" fontId="38" fillId="18" borderId="1" xfId="0" applyFont="1" applyFill="1" applyBorder="1"/>
    <xf numFmtId="0" fontId="39" fillId="18" borderId="1" xfId="0" applyFont="1" applyFill="1" applyBorder="1"/>
    <xf numFmtId="0" fontId="2" fillId="18" borderId="1" xfId="0" applyFont="1" applyFill="1" applyBorder="1" applyAlignment="1">
      <alignment vertical="center"/>
    </xf>
    <xf numFmtId="0" fontId="42" fillId="0" borderId="0" xfId="0" applyFont="1"/>
    <xf numFmtId="0" fontId="4" fillId="24" borderId="6" xfId="0" applyFont="1" applyFill="1" applyBorder="1" applyAlignment="1">
      <alignment horizontal="center" vertical="center" wrapText="1"/>
    </xf>
    <xf numFmtId="0" fontId="43" fillId="25" borderId="6" xfId="0" applyFont="1" applyFill="1" applyBorder="1" applyAlignment="1">
      <alignment vertical="top" wrapText="1"/>
    </xf>
    <xf numFmtId="0" fontId="43" fillId="25" borderId="6" xfId="0" applyFont="1" applyFill="1" applyBorder="1" applyAlignment="1">
      <alignment vertical="top" wrapText="1"/>
    </xf>
    <xf numFmtId="0" fontId="43" fillId="26" borderId="6" xfId="0" applyFont="1" applyFill="1" applyBorder="1" applyAlignment="1">
      <alignment vertical="top" wrapText="1"/>
    </xf>
    <xf numFmtId="0" fontId="43" fillId="27" borderId="6" xfId="0" applyFont="1" applyFill="1" applyBorder="1" applyAlignment="1">
      <alignment vertical="top" wrapText="1"/>
    </xf>
    <xf numFmtId="0" fontId="43" fillId="28" borderId="6" xfId="0" applyFont="1" applyFill="1" applyBorder="1" applyAlignment="1">
      <alignment vertical="top" wrapText="1"/>
    </xf>
    <xf numFmtId="0" fontId="43" fillId="28" borderId="6" xfId="0" applyFont="1" applyFill="1" applyBorder="1" applyAlignment="1">
      <alignment vertical="top" wrapText="1"/>
    </xf>
    <xf numFmtId="0" fontId="43" fillId="29" borderId="6" xfId="0" applyFont="1" applyFill="1" applyBorder="1" applyAlignment="1">
      <alignment vertical="top" wrapText="1"/>
    </xf>
    <xf numFmtId="0" fontId="43" fillId="29" borderId="6" xfId="0" applyFont="1" applyFill="1" applyBorder="1" applyAlignment="1">
      <alignment vertical="top" wrapText="1"/>
    </xf>
    <xf numFmtId="0" fontId="43" fillId="13" borderId="6" xfId="0" applyFont="1" applyFill="1" applyBorder="1" applyAlignment="1">
      <alignment vertical="top" wrapText="1"/>
    </xf>
    <xf numFmtId="0" fontId="43" fillId="13" borderId="6" xfId="0" applyFont="1" applyFill="1" applyBorder="1" applyAlignment="1">
      <alignment vertical="top" wrapText="1"/>
    </xf>
    <xf numFmtId="0" fontId="43" fillId="30" borderId="6" xfId="0" applyFont="1" applyFill="1" applyBorder="1" applyAlignment="1">
      <alignment vertical="top" wrapText="1"/>
    </xf>
    <xf numFmtId="0" fontId="43" fillId="30" borderId="6" xfId="0" applyFont="1" applyFill="1" applyBorder="1" applyAlignment="1">
      <alignment vertical="top" wrapText="1"/>
    </xf>
    <xf numFmtId="0" fontId="43" fillId="31" borderId="6" xfId="0" applyFont="1" applyFill="1" applyBorder="1" applyAlignment="1">
      <alignment vertical="top" wrapText="1"/>
    </xf>
    <xf numFmtId="0" fontId="43" fillId="31" borderId="6" xfId="0" applyFont="1" applyFill="1" applyBorder="1" applyAlignment="1">
      <alignment vertical="top" wrapText="1"/>
    </xf>
    <xf numFmtId="0" fontId="44" fillId="0" borderId="0" xfId="0" applyFont="1"/>
    <xf numFmtId="0" fontId="4" fillId="24" borderId="6" xfId="0" applyFont="1" applyFill="1" applyBorder="1" applyAlignment="1">
      <alignment horizontal="center" vertical="center"/>
    </xf>
    <xf numFmtId="0" fontId="48" fillId="33" borderId="2" xfId="0" applyFont="1" applyFill="1" applyBorder="1" applyAlignment="1">
      <alignment horizontal="center" vertical="center" wrapText="1"/>
    </xf>
    <xf numFmtId="0" fontId="4" fillId="33" borderId="2" xfId="0" applyFont="1" applyFill="1" applyBorder="1" applyAlignment="1">
      <alignment horizontal="center" vertical="center" wrapText="1"/>
    </xf>
    <xf numFmtId="0" fontId="4" fillId="33" borderId="10" xfId="0" applyFont="1" applyFill="1" applyBorder="1" applyAlignment="1">
      <alignment horizontal="center" vertical="center" wrapText="1"/>
    </xf>
    <xf numFmtId="0" fontId="43" fillId="34" borderId="10" xfId="0" applyFont="1" applyFill="1" applyBorder="1" applyAlignment="1">
      <alignment vertical="center" wrapText="1"/>
    </xf>
    <xf numFmtId="0" fontId="21" fillId="35" borderId="10" xfId="0" applyFont="1" applyFill="1" applyBorder="1" applyAlignment="1">
      <alignment horizontal="center" vertical="center"/>
    </xf>
    <xf numFmtId="0" fontId="21" fillId="22" borderId="10" xfId="0" applyFont="1" applyFill="1" applyBorder="1" applyAlignment="1">
      <alignment horizontal="center" vertical="center"/>
    </xf>
    <xf numFmtId="0" fontId="43" fillId="36" borderId="10" xfId="0" applyFont="1" applyFill="1" applyBorder="1" applyAlignment="1">
      <alignment vertical="center" wrapText="1"/>
    </xf>
    <xf numFmtId="0" fontId="21" fillId="37" borderId="10" xfId="0" applyFont="1" applyFill="1" applyBorder="1" applyAlignment="1">
      <alignment horizontal="center" vertical="center"/>
    </xf>
    <xf numFmtId="0" fontId="21" fillId="38" borderId="10" xfId="0" applyFont="1" applyFill="1" applyBorder="1" applyAlignment="1">
      <alignment horizontal="center" vertical="center"/>
    </xf>
    <xf numFmtId="0" fontId="3" fillId="0" borderId="0" xfId="0" applyFont="1"/>
    <xf numFmtId="0" fontId="43" fillId="22" borderId="10" xfId="0" applyFont="1" applyFill="1" applyBorder="1" applyAlignment="1">
      <alignment vertical="center"/>
    </xf>
    <xf numFmtId="0" fontId="43" fillId="35" borderId="10" xfId="0" applyFont="1" applyFill="1" applyBorder="1" applyAlignment="1">
      <alignment vertical="center"/>
    </xf>
    <xf numFmtId="0" fontId="43" fillId="37" borderId="10" xfId="0" applyFont="1" applyFill="1" applyBorder="1" applyAlignment="1">
      <alignment vertical="center"/>
    </xf>
    <xf numFmtId="0" fontId="43" fillId="38" borderId="10" xfId="0" applyFont="1" applyFill="1" applyBorder="1" applyAlignment="1">
      <alignment vertical="center"/>
    </xf>
    <xf numFmtId="0" fontId="4" fillId="32" borderId="10" xfId="0" applyFont="1" applyFill="1" applyBorder="1" applyAlignment="1">
      <alignment horizontal="center" vertical="center" wrapText="1"/>
    </xf>
    <xf numFmtId="0" fontId="50" fillId="34" borderId="10" xfId="0" applyFont="1" applyFill="1" applyBorder="1" applyAlignment="1">
      <alignment horizontal="center" vertical="center" wrapText="1"/>
    </xf>
    <xf numFmtId="0" fontId="50" fillId="34" borderId="10" xfId="0" applyFont="1" applyFill="1" applyBorder="1" applyAlignment="1">
      <alignment horizontal="left" vertical="center" wrapText="1"/>
    </xf>
    <xf numFmtId="0" fontId="51" fillId="12" borderId="10" xfId="0" applyFont="1" applyFill="1" applyBorder="1" applyAlignment="1">
      <alignment horizontal="left" vertical="center" wrapText="1"/>
    </xf>
    <xf numFmtId="0" fontId="50" fillId="12" borderId="10" xfId="0" applyFont="1" applyFill="1" applyBorder="1" applyAlignment="1">
      <alignment horizontal="center" vertical="center" wrapText="1"/>
    </xf>
    <xf numFmtId="0" fontId="50" fillId="36" borderId="10" xfId="0" applyFont="1" applyFill="1" applyBorder="1" applyAlignment="1">
      <alignment horizontal="center" vertical="center" wrapText="1"/>
    </xf>
    <xf numFmtId="0" fontId="50" fillId="36" borderId="10" xfId="0" applyFont="1" applyFill="1" applyBorder="1" applyAlignment="1">
      <alignment horizontal="left" vertical="center" wrapText="1"/>
    </xf>
    <xf numFmtId="0" fontId="51" fillId="41" borderId="10" xfId="0" applyFont="1" applyFill="1" applyBorder="1" applyAlignment="1">
      <alignment horizontal="left" vertical="center" wrapText="1"/>
    </xf>
    <xf numFmtId="0" fontId="50" fillId="41" borderId="10" xfId="0" applyFont="1" applyFill="1" applyBorder="1" applyAlignment="1">
      <alignment horizontal="center" vertical="center" wrapText="1"/>
    </xf>
    <xf numFmtId="0" fontId="50" fillId="34" borderId="10" xfId="0" applyFont="1" applyFill="1" applyBorder="1" applyAlignment="1">
      <alignment horizontal="left" vertical="center" wrapText="1"/>
    </xf>
    <xf numFmtId="0" fontId="51" fillId="8" borderId="10" xfId="0" applyFont="1" applyFill="1" applyBorder="1" applyAlignment="1">
      <alignment horizontal="left" vertical="center" wrapText="1"/>
    </xf>
    <xf numFmtId="0" fontId="50" fillId="8" borderId="10" xfId="0" applyFont="1" applyFill="1" applyBorder="1" applyAlignment="1">
      <alignment horizontal="center" vertical="center" wrapText="1"/>
    </xf>
    <xf numFmtId="0" fontId="52" fillId="32" borderId="10" xfId="0" applyFont="1" applyFill="1" applyBorder="1" applyAlignment="1">
      <alignment horizontal="center" wrapText="1"/>
    </xf>
    <xf numFmtId="0" fontId="50" fillId="36" borderId="10" xfId="0" applyFont="1" applyFill="1" applyBorder="1" applyAlignment="1">
      <alignment horizontal="left" vertical="center" wrapText="1"/>
    </xf>
    <xf numFmtId="0" fontId="51" fillId="42" borderId="10" xfId="0" applyFont="1" applyFill="1" applyBorder="1" applyAlignment="1">
      <alignment horizontal="left" vertical="center" wrapText="1"/>
    </xf>
    <xf numFmtId="0" fontId="50" fillId="42" borderId="10" xfId="0" applyFont="1" applyFill="1" applyBorder="1" applyAlignment="1">
      <alignment horizontal="center" vertical="center" wrapText="1"/>
    </xf>
    <xf numFmtId="0" fontId="53" fillId="43" borderId="10" xfId="0" applyFont="1" applyFill="1" applyBorder="1"/>
    <xf numFmtId="0" fontId="54" fillId="43" borderId="10" xfId="0" applyFont="1" applyFill="1" applyBorder="1" applyAlignment="1">
      <alignment horizontal="center"/>
    </xf>
    <xf numFmtId="0" fontId="53" fillId="41" borderId="10" xfId="0" applyFont="1" applyFill="1" applyBorder="1"/>
    <xf numFmtId="0" fontId="54" fillId="41" borderId="10" xfId="0" applyFont="1" applyFill="1" applyBorder="1" applyAlignment="1">
      <alignment horizontal="center"/>
    </xf>
    <xf numFmtId="0" fontId="52" fillId="44" borderId="10" xfId="0" applyFont="1" applyFill="1" applyBorder="1"/>
    <xf numFmtId="0" fontId="55" fillId="44" borderId="10" xfId="0" applyFont="1" applyFill="1" applyBorder="1" applyAlignment="1">
      <alignment horizontal="center"/>
    </xf>
    <xf numFmtId="0" fontId="53" fillId="12" borderId="10" xfId="0" applyFont="1" applyFill="1" applyBorder="1"/>
    <xf numFmtId="0" fontId="54" fillId="12" borderId="10" xfId="0" applyFont="1" applyFill="1" applyBorder="1" applyAlignment="1">
      <alignment horizontal="center"/>
    </xf>
    <xf numFmtId="0" fontId="53" fillId="8" borderId="10" xfId="0" applyFont="1" applyFill="1" applyBorder="1"/>
    <xf numFmtId="0" fontId="54" fillId="8" borderId="10" xfId="0" applyFont="1" applyFill="1" applyBorder="1" applyAlignment="1">
      <alignment horizontal="center"/>
    </xf>
    <xf numFmtId="0" fontId="53" fillId="45" borderId="10" xfId="0" applyFont="1" applyFill="1" applyBorder="1"/>
    <xf numFmtId="0" fontId="54" fillId="45" borderId="10" xfId="0" applyFont="1" applyFill="1" applyBorder="1" applyAlignment="1">
      <alignment horizontal="center"/>
    </xf>
    <xf numFmtId="0" fontId="51" fillId="43" borderId="10" xfId="0" applyFont="1" applyFill="1" applyBorder="1" applyAlignment="1">
      <alignment horizontal="left" vertical="center" wrapText="1"/>
    </xf>
    <xf numFmtId="0" fontId="50" fillId="43" borderId="10" xfId="0" applyFont="1" applyFill="1" applyBorder="1" applyAlignment="1">
      <alignment horizontal="center" vertical="center" wrapText="1"/>
    </xf>
    <xf numFmtId="0" fontId="53" fillId="42" borderId="10" xfId="0" applyFont="1" applyFill="1" applyBorder="1"/>
    <xf numFmtId="0" fontId="54" fillId="42" borderId="10" xfId="0" applyFont="1" applyFill="1" applyBorder="1" applyAlignment="1">
      <alignment horizontal="center"/>
    </xf>
    <xf numFmtId="0" fontId="51" fillId="45" borderId="10" xfId="0" applyFont="1" applyFill="1" applyBorder="1" applyAlignment="1">
      <alignment horizontal="left" vertical="center" wrapText="1"/>
    </xf>
    <xf numFmtId="0" fontId="50" fillId="45" borderId="10" xfId="0" applyFont="1" applyFill="1" applyBorder="1" applyAlignment="1">
      <alignment horizontal="center" vertical="center" wrapText="1"/>
    </xf>
    <xf numFmtId="0" fontId="56" fillId="34" borderId="10" xfId="0" applyFont="1" applyFill="1" applyBorder="1" applyAlignment="1">
      <alignment horizontal="center" vertical="center" wrapText="1"/>
    </xf>
    <xf numFmtId="0" fontId="56" fillId="34" borderId="10" xfId="0" applyFont="1" applyFill="1" applyBorder="1" applyAlignment="1">
      <alignment horizontal="left" vertical="center" wrapText="1"/>
    </xf>
    <xf numFmtId="0" fontId="48" fillId="44" borderId="10" xfId="0" applyFont="1" applyFill="1" applyBorder="1" applyAlignment="1">
      <alignment horizontal="left" vertical="center" wrapText="1"/>
    </xf>
    <xf numFmtId="0" fontId="56" fillId="44" borderId="10" xfId="0" applyFont="1" applyFill="1" applyBorder="1" applyAlignment="1">
      <alignment horizontal="center" vertical="center" wrapText="1"/>
    </xf>
    <xf numFmtId="0" fontId="56" fillId="36" borderId="10" xfId="0" applyFont="1" applyFill="1" applyBorder="1" applyAlignment="1">
      <alignment horizontal="center" vertical="center" wrapText="1"/>
    </xf>
    <xf numFmtId="0" fontId="56" fillId="36" borderId="10" xfId="0" applyFont="1" applyFill="1" applyBorder="1" applyAlignment="1">
      <alignment horizontal="left" vertical="center" wrapText="1"/>
    </xf>
    <xf numFmtId="0" fontId="56" fillId="34" borderId="10" xfId="0" applyFont="1" applyFill="1" applyBorder="1" applyAlignment="1">
      <alignment horizontal="left" vertical="center" wrapText="1"/>
    </xf>
    <xf numFmtId="0" fontId="56" fillId="36" borderId="10" xfId="0" applyFont="1" applyFill="1" applyBorder="1" applyAlignment="1">
      <alignment horizontal="left" vertical="center" wrapText="1"/>
    </xf>
    <xf numFmtId="0" fontId="53" fillId="0" borderId="0" xfId="0" applyFont="1" applyAlignment="1">
      <alignment horizontal="center" vertical="center" wrapText="1"/>
    </xf>
    <xf numFmtId="0" fontId="53" fillId="43" borderId="10" xfId="0" applyFont="1" applyFill="1" applyBorder="1" applyAlignment="1">
      <alignment vertical="center"/>
    </xf>
    <xf numFmtId="0" fontId="54" fillId="43" borderId="10" xfId="0" applyFont="1" applyFill="1" applyBorder="1" applyAlignment="1">
      <alignment horizontal="center" vertical="center"/>
    </xf>
    <xf numFmtId="0" fontId="53" fillId="41" borderId="10" xfId="0" applyFont="1" applyFill="1" applyBorder="1" applyAlignment="1">
      <alignment vertical="center"/>
    </xf>
    <xf numFmtId="0" fontId="54" fillId="41" borderId="10" xfId="0" applyFont="1" applyFill="1" applyBorder="1" applyAlignment="1">
      <alignment horizontal="center" vertical="center"/>
    </xf>
    <xf numFmtId="0" fontId="52" fillId="44" borderId="10" xfId="0" applyFont="1" applyFill="1" applyBorder="1" applyAlignment="1">
      <alignment vertical="center"/>
    </xf>
    <xf numFmtId="0" fontId="55" fillId="44" borderId="10" xfId="0" applyFont="1" applyFill="1" applyBorder="1" applyAlignment="1">
      <alignment horizontal="center" vertical="center"/>
    </xf>
    <xf numFmtId="0" fontId="53" fillId="12" borderId="10" xfId="0" applyFont="1" applyFill="1" applyBorder="1" applyAlignment="1">
      <alignment vertical="center"/>
    </xf>
    <xf numFmtId="0" fontId="54" fillId="12" borderId="10" xfId="0" applyFont="1" applyFill="1" applyBorder="1" applyAlignment="1">
      <alignment horizontal="center" vertical="center"/>
    </xf>
    <xf numFmtId="0" fontId="53" fillId="8" borderId="10" xfId="0" applyFont="1" applyFill="1" applyBorder="1" applyAlignment="1">
      <alignment vertical="center"/>
    </xf>
    <xf numFmtId="0" fontId="54" fillId="8" borderId="10" xfId="0" applyFont="1" applyFill="1" applyBorder="1" applyAlignment="1">
      <alignment horizontal="center" vertical="center"/>
    </xf>
    <xf numFmtId="0" fontId="53" fillId="45" borderId="10" xfId="0" applyFont="1" applyFill="1" applyBorder="1" applyAlignment="1">
      <alignment vertical="center"/>
    </xf>
    <xf numFmtId="0" fontId="54" fillId="45" borderId="10" xfId="0" applyFont="1" applyFill="1" applyBorder="1" applyAlignment="1">
      <alignment horizontal="center" vertical="center"/>
    </xf>
    <xf numFmtId="0" fontId="53" fillId="42" borderId="10" xfId="0" applyFont="1" applyFill="1" applyBorder="1" applyAlignment="1">
      <alignment vertical="center"/>
    </xf>
    <xf numFmtId="0" fontId="54" fillId="42" borderId="10" xfId="0" applyFont="1" applyFill="1" applyBorder="1" applyAlignment="1">
      <alignment horizontal="center" vertical="center"/>
    </xf>
    <xf numFmtId="0" fontId="57" fillId="43" borderId="10" xfId="0" applyFont="1" applyFill="1" applyBorder="1" applyAlignment="1">
      <alignment horizontal="left" vertical="center"/>
    </xf>
    <xf numFmtId="0" fontId="57" fillId="41" borderId="10" xfId="0" applyFont="1" applyFill="1" applyBorder="1" applyAlignment="1">
      <alignment horizontal="left" vertical="center"/>
    </xf>
    <xf numFmtId="0" fontId="59" fillId="44" borderId="10" xfId="0" applyFont="1" applyFill="1" applyBorder="1" applyAlignment="1">
      <alignment horizontal="left" vertical="center"/>
    </xf>
    <xf numFmtId="0" fontId="57" fillId="12" borderId="10" xfId="0" applyFont="1" applyFill="1" applyBorder="1" applyAlignment="1">
      <alignment horizontal="left" vertical="center"/>
    </xf>
    <xf numFmtId="0" fontId="57" fillId="8" borderId="10" xfId="0" applyFont="1" applyFill="1" applyBorder="1" applyAlignment="1">
      <alignment horizontal="left" vertical="center"/>
    </xf>
    <xf numFmtId="0" fontId="57" fillId="45" borderId="10" xfId="0" applyFont="1" applyFill="1" applyBorder="1" applyAlignment="1">
      <alignment horizontal="left" vertical="center"/>
    </xf>
    <xf numFmtId="0" fontId="57" fillId="42" borderId="10" xfId="0" applyFont="1" applyFill="1" applyBorder="1" applyAlignment="1">
      <alignment horizontal="left" vertical="center"/>
    </xf>
    <xf numFmtId="0" fontId="3" fillId="46" borderId="10" xfId="0" applyFont="1" applyFill="1" applyBorder="1" applyAlignment="1">
      <alignment horizontal="center" vertical="center"/>
    </xf>
    <xf numFmtId="0" fontId="48" fillId="32" borderId="10" xfId="0" applyFont="1" applyFill="1" applyBorder="1" applyAlignment="1">
      <alignment horizontal="center" vertical="center" wrapText="1"/>
    </xf>
    <xf numFmtId="0" fontId="43" fillId="48" borderId="10" xfId="0" applyFont="1" applyFill="1" applyBorder="1" applyAlignment="1">
      <alignment horizontal="center" vertical="center" wrapText="1"/>
    </xf>
    <xf numFmtId="0" fontId="43" fillId="48" borderId="10" xfId="0" applyFont="1" applyFill="1" applyBorder="1" applyAlignment="1">
      <alignment horizontal="left" vertical="center" wrapText="1"/>
    </xf>
    <xf numFmtId="0" fontId="45" fillId="43" borderId="10" xfId="0" applyFont="1" applyFill="1" applyBorder="1" applyAlignment="1">
      <alignment horizontal="left" vertical="center" wrapText="1"/>
    </xf>
    <xf numFmtId="0" fontId="43" fillId="27" borderId="10" xfId="0" applyFont="1" applyFill="1" applyBorder="1" applyAlignment="1">
      <alignment horizontal="left" vertical="center" wrapText="1"/>
    </xf>
    <xf numFmtId="0" fontId="43" fillId="36" borderId="10" xfId="0" applyFont="1" applyFill="1" applyBorder="1" applyAlignment="1">
      <alignment horizontal="center" vertical="center" wrapText="1"/>
    </xf>
    <xf numFmtId="0" fontId="43" fillId="36" borderId="10" xfId="0" applyFont="1" applyFill="1" applyBorder="1" applyAlignment="1">
      <alignment horizontal="left" vertical="center" wrapText="1"/>
    </xf>
    <xf numFmtId="0" fontId="45" fillId="42" borderId="10" xfId="0" applyFont="1" applyFill="1" applyBorder="1" applyAlignment="1">
      <alignment horizontal="left" vertical="center" wrapText="1"/>
    </xf>
    <xf numFmtId="0" fontId="43" fillId="49" borderId="10" xfId="0" applyFont="1" applyFill="1" applyBorder="1" applyAlignment="1">
      <alignment horizontal="left" vertical="center" wrapText="1"/>
    </xf>
    <xf numFmtId="0" fontId="63" fillId="36" borderId="15" xfId="0" applyFont="1" applyFill="1" applyBorder="1" applyAlignment="1">
      <alignment horizontal="left"/>
    </xf>
    <xf numFmtId="0" fontId="53" fillId="0" borderId="0" xfId="0" applyFont="1" applyAlignment="1">
      <alignment horizontal="center" vertical="center"/>
    </xf>
    <xf numFmtId="0" fontId="4" fillId="32" borderId="10" xfId="0" applyFont="1" applyFill="1" applyBorder="1" applyAlignment="1">
      <alignment horizontal="center" vertical="center"/>
    </xf>
    <xf numFmtId="0" fontId="64" fillId="36" borderId="15" xfId="0" applyFont="1" applyFill="1" applyBorder="1" applyAlignment="1"/>
    <xf numFmtId="3" fontId="64" fillId="36" borderId="15" xfId="0" applyNumberFormat="1" applyFont="1" applyFill="1" applyBorder="1" applyAlignment="1"/>
    <xf numFmtId="10" fontId="64" fillId="36" borderId="15" xfId="0" applyNumberFormat="1" applyFont="1" applyFill="1" applyBorder="1" applyAlignment="1"/>
    <xf numFmtId="0" fontId="53" fillId="27" borderId="10" xfId="0" applyFont="1" applyFill="1" applyBorder="1" applyAlignment="1">
      <alignment vertical="center"/>
    </xf>
    <xf numFmtId="0" fontId="53" fillId="27" borderId="10" xfId="0" applyFont="1" applyFill="1" applyBorder="1" applyAlignment="1">
      <alignment horizontal="center" vertical="center"/>
    </xf>
    <xf numFmtId="0" fontId="3" fillId="27" borderId="10" xfId="0" applyFont="1" applyFill="1" applyBorder="1" applyAlignment="1">
      <alignment horizontal="left" vertical="center"/>
    </xf>
    <xf numFmtId="0" fontId="5" fillId="27" borderId="10" xfId="0" applyFont="1" applyFill="1" applyBorder="1" applyAlignment="1">
      <alignment horizontal="center" vertical="center"/>
    </xf>
    <xf numFmtId="0" fontId="3" fillId="27" borderId="10" xfId="0" applyFont="1" applyFill="1" applyBorder="1" applyAlignment="1">
      <alignment horizontal="center" vertical="center"/>
    </xf>
    <xf numFmtId="0" fontId="53" fillId="50" borderId="10" xfId="0" applyFont="1" applyFill="1" applyBorder="1" applyAlignment="1">
      <alignment vertical="center"/>
    </xf>
    <xf numFmtId="0" fontId="53" fillId="50" borderId="10" xfId="0" applyFont="1" applyFill="1" applyBorder="1" applyAlignment="1">
      <alignment horizontal="center" vertical="center"/>
    </xf>
    <xf numFmtId="0" fontId="3" fillId="50" borderId="10" xfId="0" applyFont="1" applyFill="1" applyBorder="1" applyAlignment="1">
      <alignment horizontal="left" vertical="center"/>
    </xf>
    <xf numFmtId="0" fontId="5" fillId="50" borderId="10" xfId="0" applyFont="1" applyFill="1" applyBorder="1" applyAlignment="1">
      <alignment horizontal="center" vertical="center"/>
    </xf>
    <xf numFmtId="0" fontId="3" fillId="50" borderId="10" xfId="0" applyFont="1" applyFill="1" applyBorder="1" applyAlignment="1">
      <alignment horizontal="center" vertical="center"/>
    </xf>
    <xf numFmtId="0" fontId="45" fillId="22" borderId="10" xfId="0" applyFont="1" applyFill="1" applyBorder="1" applyAlignment="1">
      <alignment horizontal="left" vertical="center" wrapText="1"/>
    </xf>
    <xf numFmtId="0" fontId="43" fillId="22" borderId="10" xfId="0" applyFont="1" applyFill="1" applyBorder="1" applyAlignment="1">
      <alignment horizontal="left" vertical="center" wrapText="1"/>
    </xf>
    <xf numFmtId="0" fontId="53" fillId="51" borderId="10" xfId="0" applyFont="1" applyFill="1" applyBorder="1" applyAlignment="1">
      <alignment vertical="center"/>
    </xf>
    <xf numFmtId="0" fontId="53" fillId="51" borderId="10" xfId="0" applyFont="1" applyFill="1" applyBorder="1" applyAlignment="1">
      <alignment horizontal="center" vertical="center"/>
    </xf>
    <xf numFmtId="0" fontId="3" fillId="51" borderId="10" xfId="0" applyFont="1" applyFill="1" applyBorder="1" applyAlignment="1">
      <alignment horizontal="left" vertical="center"/>
    </xf>
    <xf numFmtId="0" fontId="5" fillId="51" borderId="10" xfId="0" applyFont="1" applyFill="1" applyBorder="1" applyAlignment="1">
      <alignment horizontal="center" vertical="center"/>
    </xf>
    <xf numFmtId="0" fontId="3" fillId="51" borderId="10" xfId="0" applyFont="1" applyFill="1" applyBorder="1" applyAlignment="1">
      <alignment horizontal="center" vertical="center"/>
    </xf>
    <xf numFmtId="0" fontId="53" fillId="12" borderId="10" xfId="0" applyFont="1" applyFill="1" applyBorder="1" applyAlignment="1">
      <alignment horizontal="center" vertical="center"/>
    </xf>
    <xf numFmtId="0" fontId="3" fillId="12" borderId="10" xfId="0" applyFont="1" applyFill="1" applyBorder="1" applyAlignment="1">
      <alignment horizontal="left" vertical="center"/>
    </xf>
    <xf numFmtId="0" fontId="5" fillId="12" borderId="10" xfId="0" applyFont="1" applyFill="1" applyBorder="1" applyAlignment="1">
      <alignment horizontal="center" vertical="center"/>
    </xf>
    <xf numFmtId="0" fontId="3" fillId="12" borderId="10" xfId="0" applyFont="1" applyFill="1" applyBorder="1" applyAlignment="1">
      <alignment horizontal="center" vertical="center"/>
    </xf>
    <xf numFmtId="0" fontId="43" fillId="51" borderId="10" xfId="0" applyFont="1" applyFill="1" applyBorder="1" applyAlignment="1">
      <alignment horizontal="left" vertical="center" wrapText="1"/>
    </xf>
    <xf numFmtId="0" fontId="53" fillId="39" borderId="10" xfId="0" applyFont="1" applyFill="1" applyBorder="1" applyAlignment="1">
      <alignment vertical="center"/>
    </xf>
    <xf numFmtId="0" fontId="53" fillId="39" borderId="10" xfId="0" applyFont="1" applyFill="1" applyBorder="1" applyAlignment="1">
      <alignment horizontal="center" vertical="center"/>
    </xf>
    <xf numFmtId="0" fontId="3" fillId="39" borderId="10" xfId="0" applyFont="1" applyFill="1" applyBorder="1" applyAlignment="1">
      <alignment horizontal="left" vertical="center"/>
    </xf>
    <xf numFmtId="0" fontId="5" fillId="39" borderId="10" xfId="0" applyFont="1" applyFill="1" applyBorder="1" applyAlignment="1">
      <alignment horizontal="center" vertical="center"/>
    </xf>
    <xf numFmtId="0" fontId="3" fillId="39" borderId="10" xfId="0" applyFont="1" applyFill="1" applyBorder="1" applyAlignment="1">
      <alignment horizontal="center" vertical="center"/>
    </xf>
    <xf numFmtId="0" fontId="43" fillId="39" borderId="10" xfId="0" applyFont="1" applyFill="1" applyBorder="1" applyAlignment="1">
      <alignment horizontal="left" vertical="center" wrapText="1"/>
    </xf>
    <xf numFmtId="0" fontId="53" fillId="49" borderId="10" xfId="0" applyFont="1" applyFill="1" applyBorder="1" applyAlignment="1">
      <alignment vertical="center"/>
    </xf>
    <xf numFmtId="0" fontId="53" fillId="49" borderId="10" xfId="0" applyFont="1" applyFill="1" applyBorder="1" applyAlignment="1">
      <alignment horizontal="center" vertical="center"/>
    </xf>
    <xf numFmtId="0" fontId="3" fillId="49" borderId="10" xfId="0" applyFont="1" applyFill="1" applyBorder="1" applyAlignment="1">
      <alignment horizontal="left" vertical="center"/>
    </xf>
    <xf numFmtId="0" fontId="5" fillId="49" borderId="10" xfId="0" applyFont="1" applyFill="1" applyBorder="1" applyAlignment="1">
      <alignment horizontal="center" vertical="center"/>
    </xf>
    <xf numFmtId="0" fontId="3" fillId="49" borderId="10" xfId="0" applyFont="1" applyFill="1" applyBorder="1" applyAlignment="1">
      <alignment horizontal="center" vertical="center"/>
    </xf>
    <xf numFmtId="0" fontId="45" fillId="52" borderId="10" xfId="0" applyFont="1" applyFill="1" applyBorder="1" applyAlignment="1">
      <alignment horizontal="left" vertical="center" wrapText="1"/>
    </xf>
    <xf numFmtId="0" fontId="53" fillId="42" borderId="10" xfId="0" applyFont="1" applyFill="1" applyBorder="1" applyAlignment="1">
      <alignment horizontal="center" vertical="center"/>
    </xf>
    <xf numFmtId="0" fontId="3" fillId="42" borderId="10" xfId="0" applyFont="1" applyFill="1" applyBorder="1" applyAlignment="1">
      <alignment horizontal="left" vertical="center"/>
    </xf>
    <xf numFmtId="0" fontId="5" fillId="42" borderId="10" xfId="0" applyFont="1" applyFill="1" applyBorder="1" applyAlignment="1">
      <alignment horizontal="center" vertical="center"/>
    </xf>
    <xf numFmtId="0" fontId="3" fillId="42" borderId="10" xfId="0" applyFont="1" applyFill="1" applyBorder="1" applyAlignment="1">
      <alignment horizontal="center" vertical="center"/>
    </xf>
    <xf numFmtId="0" fontId="43" fillId="42" borderId="10" xfId="0" applyFont="1" applyFill="1" applyBorder="1" applyAlignment="1">
      <alignment horizontal="left" vertical="center" wrapText="1"/>
    </xf>
    <xf numFmtId="9" fontId="64" fillId="36" borderId="15" xfId="0" applyNumberFormat="1" applyFont="1" applyFill="1" applyBorder="1" applyAlignment="1"/>
    <xf numFmtId="0" fontId="43" fillId="50" borderId="10" xfId="0" applyFont="1" applyFill="1" applyBorder="1" applyAlignment="1">
      <alignment horizontal="left" vertical="center" wrapText="1"/>
    </xf>
    <xf numFmtId="0" fontId="64" fillId="36" borderId="0" xfId="0" applyFont="1" applyFill="1"/>
    <xf numFmtId="0" fontId="64" fillId="36" borderId="0" xfId="0" applyFont="1" applyFill="1" applyAlignment="1"/>
    <xf numFmtId="0" fontId="64" fillId="0" borderId="0" xfId="0" applyFont="1"/>
    <xf numFmtId="0" fontId="64" fillId="0" borderId="0" xfId="0" applyFont="1" applyAlignment="1"/>
    <xf numFmtId="0" fontId="65" fillId="0" borderId="0" xfId="0" applyFont="1"/>
    <xf numFmtId="0" fontId="45" fillId="35" borderId="10" xfId="0" applyFont="1" applyFill="1" applyBorder="1" applyAlignment="1">
      <alignment horizontal="left" vertical="center" wrapText="1"/>
    </xf>
    <xf numFmtId="0" fontId="43" fillId="12" borderId="10" xfId="0" applyFont="1" applyFill="1" applyBorder="1" applyAlignment="1">
      <alignment horizontal="left" vertical="center" wrapText="1"/>
    </xf>
    <xf numFmtId="0" fontId="5" fillId="43" borderId="10" xfId="0" applyFont="1" applyFill="1" applyBorder="1" applyAlignment="1">
      <alignment horizontal="center" vertical="center"/>
    </xf>
    <xf numFmtId="0" fontId="5" fillId="52" borderId="10" xfId="0" applyFont="1" applyFill="1" applyBorder="1" applyAlignment="1">
      <alignment horizontal="center" vertical="center"/>
    </xf>
    <xf numFmtId="0" fontId="5" fillId="22" borderId="10" xfId="0" applyFont="1" applyFill="1" applyBorder="1" applyAlignment="1">
      <alignment horizontal="center" vertical="center"/>
    </xf>
    <xf numFmtId="0" fontId="3" fillId="22" borderId="10" xfId="0" applyFont="1" applyFill="1" applyBorder="1" applyAlignment="1">
      <alignment horizontal="left" vertical="center"/>
    </xf>
    <xf numFmtId="0" fontId="3" fillId="53" borderId="10" xfId="0" applyFont="1" applyFill="1" applyBorder="1" applyAlignment="1">
      <alignment horizontal="left" vertical="center"/>
    </xf>
    <xf numFmtId="0" fontId="5" fillId="53" borderId="10" xfId="0" applyFont="1" applyFill="1" applyBorder="1" applyAlignment="1">
      <alignment horizontal="center" vertical="center"/>
    </xf>
    <xf numFmtId="0" fontId="68" fillId="54" borderId="10" xfId="0" applyFont="1" applyFill="1" applyBorder="1" applyAlignment="1">
      <alignment vertical="center" wrapText="1"/>
    </xf>
    <xf numFmtId="0" fontId="69" fillId="55" borderId="10" xfId="0" applyFont="1" applyFill="1" applyBorder="1" applyAlignment="1">
      <alignment horizontal="center" vertical="center"/>
    </xf>
    <xf numFmtId="0" fontId="69" fillId="56" borderId="10" xfId="0" applyFont="1" applyFill="1" applyBorder="1" applyAlignment="1">
      <alignment horizontal="center" vertical="center"/>
    </xf>
    <xf numFmtId="0" fontId="69" fillId="57" borderId="10" xfId="0" applyFont="1" applyFill="1" applyBorder="1" applyAlignment="1">
      <alignment horizontal="center" vertical="center"/>
    </xf>
    <xf numFmtId="0" fontId="69" fillId="58" borderId="10" xfId="0" applyFont="1" applyFill="1" applyBorder="1" applyAlignment="1">
      <alignment horizontal="center" vertical="center"/>
    </xf>
    <xf numFmtId="0" fontId="70" fillId="59" borderId="0" xfId="0" applyFont="1" applyFill="1"/>
    <xf numFmtId="0" fontId="68" fillId="60" borderId="10" xfId="0" applyFont="1" applyFill="1" applyBorder="1" applyAlignment="1">
      <alignment vertical="center" wrapText="1"/>
    </xf>
    <xf numFmtId="0" fontId="68" fillId="54" borderId="10" xfId="0" applyFont="1" applyFill="1" applyBorder="1" applyAlignment="1">
      <alignment horizontal="center" vertical="center" wrapText="1"/>
    </xf>
    <xf numFmtId="0" fontId="68" fillId="54" borderId="10" xfId="0" applyFont="1" applyFill="1" applyBorder="1" applyAlignment="1">
      <alignment horizontal="left" vertical="center" wrapText="1"/>
    </xf>
    <xf numFmtId="0" fontId="71" fillId="61" borderId="10" xfId="0" applyFont="1" applyFill="1" applyBorder="1" applyAlignment="1">
      <alignment horizontal="left" vertical="center" wrapText="1"/>
    </xf>
    <xf numFmtId="0" fontId="68" fillId="62" borderId="10" xfId="0" applyFont="1" applyFill="1" applyBorder="1" applyAlignment="1">
      <alignment horizontal="left" vertical="center" wrapText="1"/>
    </xf>
    <xf numFmtId="0" fontId="72" fillId="59" borderId="0" xfId="0" applyFont="1" applyFill="1" applyAlignment="1"/>
    <xf numFmtId="0" fontId="68" fillId="63" borderId="10" xfId="0" applyFont="1" applyFill="1" applyBorder="1" applyAlignment="1">
      <alignment horizontal="center" vertical="center" wrapText="1"/>
    </xf>
    <xf numFmtId="0" fontId="68" fillId="63" borderId="10" xfId="0" applyFont="1" applyFill="1" applyBorder="1" applyAlignment="1">
      <alignment horizontal="left" vertical="center" wrapText="1"/>
    </xf>
    <xf numFmtId="0" fontId="68" fillId="64" borderId="10" xfId="0" applyFont="1" applyFill="1" applyBorder="1" applyAlignment="1">
      <alignment horizontal="left" vertical="center" wrapText="1"/>
    </xf>
    <xf numFmtId="0" fontId="73" fillId="54" borderId="10" xfId="0" applyFont="1" applyFill="1" applyBorder="1" applyAlignment="1">
      <alignment horizontal="center" vertical="center" wrapText="1"/>
    </xf>
    <xf numFmtId="0" fontId="73" fillId="54" borderId="10" xfId="0" applyFont="1" applyFill="1" applyBorder="1" applyAlignment="1">
      <alignment horizontal="left" vertical="center" wrapText="1"/>
    </xf>
    <xf numFmtId="0" fontId="74" fillId="61" borderId="10" xfId="0" applyFont="1" applyFill="1" applyBorder="1" applyAlignment="1">
      <alignment horizontal="left" vertical="center" wrapText="1"/>
    </xf>
    <xf numFmtId="0" fontId="73" fillId="61" borderId="10" xfId="0" applyFont="1" applyFill="1" applyBorder="1" applyAlignment="1">
      <alignment horizontal="center" vertical="center" wrapText="1"/>
    </xf>
    <xf numFmtId="0" fontId="74" fillId="65" borderId="10" xfId="0" applyFont="1" applyFill="1" applyBorder="1" applyAlignment="1">
      <alignment horizontal="left" vertical="center" wrapText="1"/>
    </xf>
    <xf numFmtId="0" fontId="73" fillId="65" borderId="10" xfId="0" applyFont="1" applyFill="1" applyBorder="1" applyAlignment="1">
      <alignment horizontal="center" vertical="center" wrapText="1"/>
    </xf>
    <xf numFmtId="0" fontId="73" fillId="60" borderId="10" xfId="0" applyFont="1" applyFill="1" applyBorder="1" applyAlignment="1">
      <alignment horizontal="center" vertical="center" wrapText="1"/>
    </xf>
    <xf numFmtId="0" fontId="73" fillId="60" borderId="10" xfId="0" applyFont="1" applyFill="1" applyBorder="1" applyAlignment="1">
      <alignment horizontal="left" vertical="center" wrapText="1"/>
    </xf>
    <xf numFmtId="0" fontId="74" fillId="66" borderId="10" xfId="0" applyFont="1" applyFill="1" applyBorder="1" applyAlignment="1">
      <alignment horizontal="left" vertical="center" wrapText="1"/>
    </xf>
    <xf numFmtId="0" fontId="73" fillId="66" borderId="10" xfId="0" applyFont="1" applyFill="1" applyBorder="1" applyAlignment="1">
      <alignment horizontal="center" vertical="center" wrapText="1"/>
    </xf>
    <xf numFmtId="0" fontId="68" fillId="67" borderId="6" xfId="0" applyFont="1" applyFill="1" applyBorder="1" applyAlignment="1">
      <alignment vertical="top" wrapText="1"/>
    </xf>
    <xf numFmtId="0" fontId="75" fillId="59" borderId="0" xfId="0" applyFont="1" applyFill="1"/>
    <xf numFmtId="0" fontId="68" fillId="64" borderId="6" xfId="0" applyFont="1" applyFill="1" applyBorder="1" applyAlignment="1">
      <alignment vertical="top" wrapText="1"/>
    </xf>
    <xf numFmtId="0" fontId="43" fillId="68" borderId="6" xfId="0" applyFont="1" applyFill="1" applyBorder="1" applyAlignment="1">
      <alignment vertical="top" wrapText="1"/>
    </xf>
    <xf numFmtId="0" fontId="67" fillId="0" borderId="0" xfId="0" applyFont="1" applyAlignment="1"/>
    <xf numFmtId="0" fontId="0" fillId="69" borderId="0" xfId="0" applyFont="1" applyFill="1" applyAlignment="1"/>
    <xf numFmtId="0" fontId="45" fillId="78" borderId="6" xfId="0" applyFont="1" applyFill="1" applyBorder="1" applyAlignment="1">
      <alignment vertical="center"/>
    </xf>
    <xf numFmtId="0" fontId="45" fillId="69" borderId="6" xfId="0" applyFont="1" applyFill="1" applyBorder="1" applyAlignment="1">
      <alignment horizontal="center"/>
    </xf>
    <xf numFmtId="0" fontId="45" fillId="79" borderId="6" xfId="0" applyFont="1" applyFill="1" applyBorder="1" applyAlignment="1">
      <alignment vertical="center"/>
    </xf>
    <xf numFmtId="0" fontId="45" fillId="80" borderId="6" xfId="0" applyFont="1" applyFill="1" applyBorder="1" applyAlignment="1">
      <alignment vertical="center"/>
    </xf>
    <xf numFmtId="0" fontId="45" fillId="68" borderId="6" xfId="0" applyFont="1" applyFill="1" applyBorder="1" applyAlignment="1">
      <alignment vertical="center"/>
    </xf>
    <xf numFmtId="0" fontId="45" fillId="81" borderId="6" xfId="0" applyFont="1" applyFill="1" applyBorder="1" applyAlignment="1">
      <alignment vertical="center"/>
    </xf>
    <xf numFmtId="0" fontId="45" fillId="82" borderId="6" xfId="0" applyFont="1" applyFill="1" applyBorder="1" applyAlignment="1">
      <alignment vertical="center"/>
    </xf>
    <xf numFmtId="0" fontId="45" fillId="83" borderId="6" xfId="0" applyFont="1" applyFill="1" applyBorder="1" applyAlignment="1">
      <alignment vertical="center"/>
    </xf>
    <xf numFmtId="0" fontId="45" fillId="84" borderId="6" xfId="0" applyFont="1" applyFill="1" applyBorder="1" applyAlignment="1">
      <alignment vertical="center"/>
    </xf>
    <xf numFmtId="0" fontId="76" fillId="69" borderId="0" xfId="0" applyFont="1" applyFill="1"/>
    <xf numFmtId="0" fontId="3" fillId="92" borderId="10" xfId="0" applyFont="1" applyFill="1" applyBorder="1" applyAlignment="1">
      <alignment horizontal="center" vertical="center"/>
    </xf>
    <xf numFmtId="0" fontId="4" fillId="93" borderId="2" xfId="0" applyFont="1" applyFill="1" applyBorder="1" applyAlignment="1">
      <alignment horizontal="center" vertical="center"/>
    </xf>
    <xf numFmtId="0" fontId="45" fillId="94" borderId="10" xfId="0" applyFont="1" applyFill="1" applyBorder="1" applyAlignment="1">
      <alignment horizontal="center" vertical="center"/>
    </xf>
    <xf numFmtId="0" fontId="45" fillId="95" borderId="10" xfId="0" applyFont="1" applyFill="1" applyBorder="1" applyAlignment="1">
      <alignment horizontal="center" vertical="center"/>
    </xf>
    <xf numFmtId="0" fontId="45" fillId="96" borderId="10" xfId="0" applyFont="1" applyFill="1" applyBorder="1" applyAlignment="1">
      <alignment horizontal="center" vertical="center"/>
    </xf>
    <xf numFmtId="0" fontId="45" fillId="97" borderId="10" xfId="0" applyFont="1" applyFill="1" applyBorder="1" applyAlignment="1">
      <alignment horizontal="center" vertical="center"/>
    </xf>
    <xf numFmtId="0" fontId="5" fillId="89" borderId="10" xfId="0" applyFont="1" applyFill="1" applyBorder="1" applyAlignment="1">
      <alignment horizontal="center" vertical="center"/>
    </xf>
    <xf numFmtId="0" fontId="5" fillId="98" borderId="10" xfId="0" applyFont="1" applyFill="1" applyBorder="1" applyAlignment="1">
      <alignment horizontal="center" vertical="center"/>
    </xf>
    <xf numFmtId="0" fontId="5" fillId="97" borderId="10" xfId="0" applyFont="1" applyFill="1" applyBorder="1" applyAlignment="1">
      <alignment horizontal="center" vertical="center"/>
    </xf>
    <xf numFmtId="0" fontId="5" fillId="96" borderId="10" xfId="0" applyFont="1" applyFill="1" applyBorder="1" applyAlignment="1">
      <alignment horizontal="center" vertical="center"/>
    </xf>
    <xf numFmtId="0" fontId="3" fillId="80" borderId="10" xfId="0" applyFont="1" applyFill="1" applyBorder="1" applyAlignment="1">
      <alignment horizontal="left" vertical="center"/>
    </xf>
    <xf numFmtId="0" fontId="5" fillId="80" borderId="10" xfId="0" applyFont="1" applyFill="1" applyBorder="1" applyAlignment="1">
      <alignment horizontal="center" vertical="center"/>
    </xf>
    <xf numFmtId="0" fontId="3" fillId="80" borderId="10" xfId="0" applyFont="1" applyFill="1" applyBorder="1" applyAlignment="1">
      <alignment horizontal="center" vertical="center"/>
    </xf>
    <xf numFmtId="0" fontId="3" fillId="100" borderId="10" xfId="0" applyFont="1" applyFill="1" applyBorder="1" applyAlignment="1">
      <alignment horizontal="left" vertical="center"/>
    </xf>
    <xf numFmtId="0" fontId="5" fillId="100" borderId="10" xfId="0" applyFont="1" applyFill="1" applyBorder="1" applyAlignment="1">
      <alignment horizontal="center" vertical="center"/>
    </xf>
    <xf numFmtId="0" fontId="3" fillId="100" borderId="10" xfId="0" applyFont="1" applyFill="1" applyBorder="1" applyAlignment="1">
      <alignment horizontal="center" vertical="center"/>
    </xf>
    <xf numFmtId="0" fontId="3" fillId="101" borderId="10" xfId="0" applyFont="1" applyFill="1" applyBorder="1" applyAlignment="1">
      <alignment horizontal="left" vertical="center"/>
    </xf>
    <xf numFmtId="0" fontId="5" fillId="101" borderId="10" xfId="0" applyFont="1" applyFill="1" applyBorder="1" applyAlignment="1">
      <alignment horizontal="center" vertical="center"/>
    </xf>
    <xf numFmtId="0" fontId="3" fillId="101" borderId="10" xfId="0" applyFont="1" applyFill="1" applyBorder="1" applyAlignment="1">
      <alignment horizontal="center" vertical="center"/>
    </xf>
    <xf numFmtId="0" fontId="3" fillId="86" borderId="10" xfId="0" applyFont="1" applyFill="1" applyBorder="1" applyAlignment="1">
      <alignment horizontal="left" vertical="center"/>
    </xf>
    <xf numFmtId="0" fontId="5" fillId="86" borderId="10" xfId="0" applyFont="1" applyFill="1" applyBorder="1" applyAlignment="1">
      <alignment horizontal="center" vertical="center"/>
    </xf>
    <xf numFmtId="0" fontId="3" fillId="86" borderId="10" xfId="0" applyFont="1" applyFill="1" applyBorder="1" applyAlignment="1">
      <alignment horizontal="center" vertical="center"/>
    </xf>
    <xf numFmtId="0" fontId="3" fillId="94" borderId="10" xfId="0" applyFont="1" applyFill="1" applyBorder="1" applyAlignment="1">
      <alignment horizontal="left" vertical="center"/>
    </xf>
    <xf numFmtId="0" fontId="5" fillId="94" borderId="10" xfId="0" applyFont="1" applyFill="1" applyBorder="1" applyAlignment="1">
      <alignment horizontal="center" vertical="center"/>
    </xf>
    <xf numFmtId="0" fontId="3" fillId="94" borderId="10" xfId="0" applyFont="1" applyFill="1" applyBorder="1" applyAlignment="1">
      <alignment horizontal="center" vertical="center"/>
    </xf>
    <xf numFmtId="0" fontId="3" fillId="102" borderId="10" xfId="0" applyFont="1" applyFill="1" applyBorder="1" applyAlignment="1">
      <alignment horizontal="left" vertical="center"/>
    </xf>
    <xf numFmtId="0" fontId="5" fillId="102" borderId="10" xfId="0" applyFont="1" applyFill="1" applyBorder="1" applyAlignment="1">
      <alignment horizontal="center" vertical="center"/>
    </xf>
    <xf numFmtId="0" fontId="3" fillId="102" borderId="10" xfId="0" applyFont="1" applyFill="1" applyBorder="1" applyAlignment="1">
      <alignment horizontal="center" vertical="center"/>
    </xf>
    <xf numFmtId="0" fontId="3" fillId="90" borderId="10" xfId="0" applyFont="1" applyFill="1" applyBorder="1" applyAlignment="1">
      <alignment horizontal="left" vertical="center"/>
    </xf>
    <xf numFmtId="0" fontId="5" fillId="90" borderId="10" xfId="0" applyFont="1" applyFill="1" applyBorder="1" applyAlignment="1">
      <alignment horizontal="center" vertical="center"/>
    </xf>
    <xf numFmtId="0" fontId="3" fillId="90" borderId="10" xfId="0" applyFont="1" applyFill="1" applyBorder="1" applyAlignment="1">
      <alignment horizontal="center" vertical="center"/>
    </xf>
    <xf numFmtId="0" fontId="67" fillId="69" borderId="0" xfId="0" applyFont="1" applyFill="1" applyAlignment="1"/>
    <xf numFmtId="49" fontId="42" fillId="69" borderId="6" xfId="0" applyNumberFormat="1" applyFont="1" applyFill="1" applyBorder="1" applyAlignment="1">
      <alignment horizontal="center"/>
    </xf>
    <xf numFmtId="49" fontId="76" fillId="69" borderId="0" xfId="0" applyNumberFormat="1" applyFont="1" applyFill="1"/>
    <xf numFmtId="49" fontId="57" fillId="89" borderId="10" xfId="0" applyNumberFormat="1" applyFont="1" applyFill="1" applyBorder="1" applyAlignment="1">
      <alignment horizontal="center" vertical="center"/>
    </xf>
    <xf numFmtId="49" fontId="58" fillId="89" borderId="10" xfId="0" applyNumberFormat="1" applyFont="1" applyFill="1" applyBorder="1" applyAlignment="1">
      <alignment horizontal="left" vertical="center"/>
    </xf>
    <xf numFmtId="49" fontId="57" fillId="88" borderId="10" xfId="0" applyNumberFormat="1" applyFont="1" applyFill="1" applyBorder="1" applyAlignment="1">
      <alignment horizontal="center" vertical="center"/>
    </xf>
    <xf numFmtId="49" fontId="58" fillId="88" borderId="10" xfId="0" applyNumberFormat="1" applyFont="1" applyFill="1" applyBorder="1" applyAlignment="1">
      <alignment horizontal="left" vertical="center"/>
    </xf>
    <xf numFmtId="49" fontId="59" fillId="87" borderId="10" xfId="0" applyNumberFormat="1" applyFont="1" applyFill="1" applyBorder="1" applyAlignment="1">
      <alignment horizontal="center" vertical="center"/>
    </xf>
    <xf numFmtId="49" fontId="4" fillId="87" borderId="10" xfId="0" applyNumberFormat="1" applyFont="1" applyFill="1" applyBorder="1" applyAlignment="1">
      <alignment horizontal="left" vertical="center"/>
    </xf>
    <xf numFmtId="49" fontId="57" fillId="86" borderId="10" xfId="0" applyNumberFormat="1" applyFont="1" applyFill="1" applyBorder="1" applyAlignment="1">
      <alignment horizontal="center" vertical="center"/>
    </xf>
    <xf numFmtId="49" fontId="58" fillId="86" borderId="10" xfId="0" applyNumberFormat="1" applyFont="1" applyFill="1" applyBorder="1" applyAlignment="1">
      <alignment horizontal="left" vertical="center"/>
    </xf>
    <xf numFmtId="49" fontId="57" fillId="85" borderId="10" xfId="0" applyNumberFormat="1" applyFont="1" applyFill="1" applyBorder="1" applyAlignment="1">
      <alignment horizontal="center" vertical="center"/>
    </xf>
    <xf numFmtId="49" fontId="58" fillId="85" borderId="10" xfId="0" applyNumberFormat="1" applyFont="1" applyFill="1" applyBorder="1" applyAlignment="1">
      <alignment horizontal="left" vertical="center"/>
    </xf>
    <xf numFmtId="49" fontId="57" fillId="91" borderId="10" xfId="0" applyNumberFormat="1" applyFont="1" applyFill="1" applyBorder="1" applyAlignment="1">
      <alignment horizontal="center" vertical="center"/>
    </xf>
    <xf numFmtId="49" fontId="58" fillId="91" borderId="10" xfId="0" applyNumberFormat="1" applyFont="1" applyFill="1" applyBorder="1" applyAlignment="1">
      <alignment horizontal="left" vertical="center"/>
    </xf>
    <xf numFmtId="49" fontId="57" fillId="90" borderId="10" xfId="0" applyNumberFormat="1" applyFont="1" applyFill="1" applyBorder="1" applyAlignment="1">
      <alignment horizontal="center" vertical="center"/>
    </xf>
    <xf numFmtId="49" fontId="58" fillId="90" borderId="10" xfId="0" applyNumberFormat="1" applyFont="1" applyFill="1" applyBorder="1" applyAlignment="1">
      <alignment horizontal="left" vertical="center"/>
    </xf>
    <xf numFmtId="49" fontId="3" fillId="92" borderId="10" xfId="0" applyNumberFormat="1" applyFont="1" applyFill="1" applyBorder="1" applyAlignment="1">
      <alignment horizontal="center" vertical="center"/>
    </xf>
    <xf numFmtId="49" fontId="3" fillId="89" borderId="10" xfId="0" applyNumberFormat="1" applyFont="1" applyFill="1" applyBorder="1" applyAlignment="1">
      <alignment horizontal="center" vertical="center"/>
    </xf>
    <xf numFmtId="49" fontId="3" fillId="98" borderId="10" xfId="0" applyNumberFormat="1" applyFont="1" applyFill="1" applyBorder="1" applyAlignment="1">
      <alignment horizontal="center" vertical="center"/>
    </xf>
    <xf numFmtId="49" fontId="3" fillId="97" borderId="10" xfId="0" applyNumberFormat="1" applyFont="1" applyFill="1" applyBorder="1" applyAlignment="1">
      <alignment horizontal="center" vertical="center"/>
    </xf>
    <xf numFmtId="49" fontId="3" fillId="96" borderId="10" xfId="0" applyNumberFormat="1" applyFont="1" applyFill="1" applyBorder="1" applyAlignment="1">
      <alignment horizontal="center" vertical="center"/>
    </xf>
    <xf numFmtId="49" fontId="5" fillId="97" borderId="10" xfId="0" applyNumberFormat="1" applyFont="1" applyFill="1" applyBorder="1" applyAlignment="1">
      <alignment horizontal="center" vertical="center"/>
    </xf>
    <xf numFmtId="49" fontId="5" fillId="99" borderId="10" xfId="0" applyNumberFormat="1" applyFont="1" applyFill="1" applyBorder="1" applyAlignment="1">
      <alignment horizontal="center" vertical="center"/>
    </xf>
    <xf numFmtId="0" fontId="28" fillId="0" borderId="0" xfId="0" applyFont="1" applyAlignment="1">
      <alignment horizontal="center"/>
    </xf>
    <xf numFmtId="0" fontId="0" fillId="0" borderId="0" xfId="0" applyFont="1" applyAlignment="1"/>
    <xf numFmtId="0" fontId="4" fillId="72" borderId="7" xfId="0" applyFont="1" applyFill="1" applyBorder="1" applyAlignment="1">
      <alignment horizontal="left" vertical="center"/>
    </xf>
    <xf numFmtId="0" fontId="41" fillId="0" borderId="8" xfId="0" applyFont="1" applyBorder="1"/>
    <xf numFmtId="0" fontId="41" fillId="0" borderId="9" xfId="0" applyFont="1" applyBorder="1"/>
    <xf numFmtId="0" fontId="4" fillId="77" borderId="7" xfId="0" applyFont="1" applyFill="1" applyBorder="1" applyAlignment="1">
      <alignment horizontal="left" vertical="center"/>
    </xf>
    <xf numFmtId="0" fontId="40" fillId="23" borderId="3" xfId="0" applyFont="1" applyFill="1" applyBorder="1" applyAlignment="1">
      <alignment horizontal="center" vertical="center"/>
    </xf>
    <xf numFmtId="0" fontId="41" fillId="0" borderId="4" xfId="0" applyFont="1" applyBorder="1"/>
    <xf numFmtId="0" fontId="41" fillId="0" borderId="5" xfId="0" applyFont="1" applyBorder="1"/>
    <xf numFmtId="0" fontId="4" fillId="76" borderId="7" xfId="0" applyFont="1" applyFill="1" applyBorder="1" applyAlignment="1">
      <alignment horizontal="left" vertical="center"/>
    </xf>
    <xf numFmtId="0" fontId="4" fillId="74" borderId="7" xfId="0" applyFont="1" applyFill="1" applyBorder="1" applyAlignment="1">
      <alignment horizontal="left" vertical="center"/>
    </xf>
    <xf numFmtId="0" fontId="4" fillId="70" borderId="7" xfId="0" applyFont="1" applyFill="1" applyBorder="1" applyAlignment="1">
      <alignment horizontal="left" vertical="center"/>
    </xf>
    <xf numFmtId="0" fontId="4" fillId="75" borderId="7" xfId="0" applyFont="1" applyFill="1" applyBorder="1" applyAlignment="1">
      <alignment horizontal="left" vertical="center"/>
    </xf>
    <xf numFmtId="0" fontId="4" fillId="73" borderId="7" xfId="0" applyFont="1" applyFill="1" applyBorder="1" applyAlignment="1">
      <alignment horizontal="left" vertical="center"/>
    </xf>
    <xf numFmtId="0" fontId="4" fillId="71" borderId="7" xfId="0" applyFont="1" applyFill="1" applyBorder="1" applyAlignment="1">
      <alignment horizontal="left" vertical="center"/>
    </xf>
    <xf numFmtId="0" fontId="46" fillId="32" borderId="3" xfId="0" applyFont="1" applyFill="1" applyBorder="1" applyAlignment="1">
      <alignment horizontal="center" vertical="center"/>
    </xf>
    <xf numFmtId="0" fontId="47" fillId="17" borderId="3" xfId="0" applyFont="1" applyFill="1" applyBorder="1" applyAlignment="1">
      <alignment horizontal="center" vertical="center"/>
    </xf>
    <xf numFmtId="0" fontId="4" fillId="33" borderId="3" xfId="0" applyFont="1" applyFill="1" applyBorder="1" applyAlignment="1">
      <alignment horizontal="center" vertical="center"/>
    </xf>
    <xf numFmtId="0" fontId="5" fillId="40" borderId="11" xfId="0" applyFont="1" applyFill="1" applyBorder="1" applyAlignment="1">
      <alignment vertical="top" wrapText="1"/>
    </xf>
    <xf numFmtId="0" fontId="41" fillId="0" borderId="12" xfId="0" applyFont="1" applyBorder="1"/>
    <xf numFmtId="0" fontId="41" fillId="0" borderId="14" xfId="0" applyFont="1" applyBorder="1"/>
    <xf numFmtId="0" fontId="5" fillId="36" borderId="11" xfId="0" applyFont="1" applyFill="1" applyBorder="1" applyAlignment="1">
      <alignment vertical="top" wrapText="1"/>
    </xf>
    <xf numFmtId="0" fontId="62" fillId="47" borderId="3" xfId="0" applyFont="1" applyFill="1" applyBorder="1" applyAlignment="1">
      <alignment vertical="center" wrapText="1"/>
    </xf>
    <xf numFmtId="0" fontId="61" fillId="33" borderId="11" xfId="0" applyFont="1" applyFill="1" applyBorder="1" applyAlignment="1">
      <alignment horizontal="center" vertical="center"/>
    </xf>
    <xf numFmtId="0" fontId="41" fillId="0" borderId="13" xfId="0" applyFont="1" applyBorder="1"/>
    <xf numFmtId="0" fontId="46" fillId="33" borderId="3" xfId="0" applyFont="1" applyFill="1" applyBorder="1" applyAlignment="1">
      <alignment horizontal="center" vertical="center"/>
    </xf>
    <xf numFmtId="0" fontId="49" fillId="17" borderId="3" xfId="0" applyFont="1" applyFill="1" applyBorder="1" applyAlignment="1">
      <alignment horizontal="center" vertical="center" wrapText="1"/>
    </xf>
    <xf numFmtId="0" fontId="43" fillId="40" borderId="11" xfId="0" applyFont="1" applyFill="1" applyBorder="1" applyAlignment="1">
      <alignment horizontal="left" vertical="center" wrapText="1"/>
    </xf>
    <xf numFmtId="0" fontId="1" fillId="33" borderId="11" xfId="0" applyFont="1" applyFill="1" applyBorder="1" applyAlignment="1">
      <alignment horizontal="center" vertical="center"/>
    </xf>
    <xf numFmtId="0" fontId="60" fillId="39" borderId="11" xfId="0" applyFont="1" applyFill="1" applyBorder="1" applyAlignment="1">
      <alignment horizontal="left" vertical="center" wrapText="1"/>
    </xf>
    <xf numFmtId="0" fontId="40" fillId="33" borderId="11" xfId="0" applyFont="1" applyFill="1" applyBorder="1" applyAlignment="1">
      <alignment horizontal="center" vertical="center"/>
    </xf>
    <xf numFmtId="0" fontId="49" fillId="17" borderId="3" xfId="0" applyFont="1" applyFill="1" applyBorder="1" applyAlignment="1">
      <alignment horizontal="left" vertical="center" wrapText="1"/>
    </xf>
    <xf numFmtId="0" fontId="4" fillId="32" borderId="11" xfId="0" applyFont="1" applyFill="1" applyBorder="1" applyAlignment="1">
      <alignment horizontal="center" vertical="center"/>
    </xf>
    <xf numFmtId="0" fontId="3" fillId="89" borderId="11" xfId="0" applyFont="1" applyFill="1" applyBorder="1" applyAlignment="1">
      <alignment horizontal="left" vertical="center"/>
    </xf>
    <xf numFmtId="0" fontId="41" fillId="69" borderId="14" xfId="0" applyFont="1" applyFill="1" applyBorder="1"/>
    <xf numFmtId="0" fontId="3" fillId="98" borderId="11" xfId="0" applyFont="1" applyFill="1" applyBorder="1" applyAlignment="1">
      <alignment horizontal="left" vertical="center"/>
    </xf>
    <xf numFmtId="0" fontId="5" fillId="47" borderId="11" xfId="0" applyFont="1" applyFill="1" applyBorder="1" applyAlignment="1">
      <alignment vertical="top" wrapText="1"/>
    </xf>
    <xf numFmtId="0" fontId="62" fillId="47" borderId="11" xfId="0" applyFont="1" applyFill="1" applyBorder="1" applyAlignment="1">
      <alignment vertical="center" wrapText="1"/>
    </xf>
    <xf numFmtId="0" fontId="3" fillId="97" borderId="11" xfId="0" applyFont="1" applyFill="1" applyBorder="1" applyAlignment="1">
      <alignment horizontal="left" vertical="center"/>
    </xf>
    <xf numFmtId="0" fontId="3" fillId="96" borderId="11" xfId="0" applyFont="1" applyFill="1" applyBorder="1" applyAlignment="1">
      <alignment horizontal="left" vertical="center"/>
    </xf>
    <xf numFmtId="0" fontId="5" fillId="35" borderId="11" xfId="0" applyFont="1" applyFill="1" applyBorder="1" applyAlignment="1">
      <alignment horizontal="left" vertical="center"/>
    </xf>
    <xf numFmtId="0" fontId="3" fillId="92" borderId="11" xfId="0" applyFont="1" applyFill="1" applyBorder="1" applyAlignment="1">
      <alignment horizontal="left" vertical="center"/>
    </xf>
    <xf numFmtId="0" fontId="66" fillId="47" borderId="11" xfId="0" applyFont="1" applyFill="1" applyBorder="1" applyAlignment="1">
      <alignment vertical="center" wrapText="1"/>
    </xf>
  </cellXfs>
  <cellStyles count="1">
    <cellStyle name="Normal" xfId="0" builtinId="0"/>
  </cellStyles>
  <dxfs count="8">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tableStyle name="Sensing Modality Categories-style" pivot="0" count="4" xr9:uid="{00000000-0011-0000-FFFF-FFFF00000000}">
      <tableStyleElement type="wholeTable" size="0" dxfId="7"/>
      <tableStyleElement type="headerRow" dxfId="6"/>
      <tableStyleElement type="firstRowStripe" dxfId="5"/>
      <tableStyleElement type="secondRowStripe" dxfId="4"/>
    </tableStyle>
    <tableStyle name="Participant Demographics-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tx>
            <c:strRef>
              <c:f>'Categorization by Activity'!$C$98:$C$99</c:f>
              <c:strCache>
                <c:ptCount val="2"/>
                <c:pt idx="0">
                  <c:v>Summary by Activity Category</c:v>
                </c:pt>
                <c:pt idx="1">
                  <c:v>% of Total</c:v>
                </c:pt>
              </c:strCache>
            </c:strRef>
          </c:tx>
          <c:spPr>
            <a:solidFill>
              <a:srgbClr val="4F81BD"/>
            </a:solidFill>
            <a:ln cmpd="sng">
              <a:solidFill>
                <a:srgbClr val="000000"/>
              </a:solidFill>
            </a:ln>
          </c:spPr>
          <c:invertIfNegative val="1"/>
          <c:cat>
            <c:strRef>
              <c:f>'Categorization by Activity'!$A$100:$A$107</c:f>
              <c:strCache>
                <c:ptCount val="8"/>
                <c:pt idx="0">
                  <c:v>Gait &amp; Locomotion</c:v>
                </c:pt>
                <c:pt idx="1">
                  <c:v>Upper Limb Activities</c:v>
                </c:pt>
                <c:pt idx="2">
                  <c:v>Activities of Daily Living (ADL)</c:v>
                </c:pt>
                <c:pt idx="3">
                  <c:v>Sport &amp; Exercise</c:v>
                </c:pt>
                <c:pt idx="4">
                  <c:v>Fall Related / Jump Landing</c:v>
                </c:pt>
                <c:pt idx="5">
                  <c:v>Balance &amp; Stability</c:v>
                </c:pt>
                <c:pt idx="6">
                  <c:v>Occupational / Ergonomics</c:v>
                </c:pt>
                <c:pt idx="7">
                  <c:v>Pose Estimation / Static Posture</c:v>
                </c:pt>
              </c:strCache>
            </c:strRef>
          </c:cat>
          <c:val>
            <c:numRef>
              <c:f>'Categorization by Activity'!$C$100:$C$107</c:f>
              <c:numCache>
                <c:formatCode>@</c:formatCode>
                <c:ptCount val="8"/>
                <c:pt idx="0">
                  <c:v>0</c:v>
                </c:pt>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8DB-4D8B-B405-2B45C60994F1}"/>
            </c:ext>
          </c:extLst>
        </c:ser>
        <c:dLbls>
          <c:showLegendKey val="0"/>
          <c:showVal val="0"/>
          <c:showCatName val="0"/>
          <c:showSerName val="0"/>
          <c:showPercent val="0"/>
          <c:showBubbleSize val="0"/>
        </c:dLbls>
        <c:gapWidth val="150"/>
        <c:axId val="304061689"/>
        <c:axId val="762056663"/>
      </c:barChart>
      <c:catAx>
        <c:axId val="304061689"/>
        <c:scaling>
          <c:orientation val="maxMin"/>
        </c:scaling>
        <c:delete val="0"/>
        <c:axPos val="l"/>
        <c:title>
          <c:tx>
            <c:rich>
              <a:bodyPr/>
              <a:lstStyle/>
              <a:p>
                <a:pPr lvl="0">
                  <a:defRPr sz="1400" b="0">
                    <a:solidFill>
                      <a:srgbClr val="000000"/>
                    </a:solidFill>
                    <a:latin typeface="+mn-lt"/>
                  </a:defRPr>
                </a:pPr>
                <a:endParaRPr/>
              </a:p>
            </c:rich>
          </c:tx>
          <c:layout>
            <c:manualLayout>
              <c:xMode val="edge"/>
              <c:yMode val="edge"/>
              <c:x val="3.0916666666666669E-2"/>
              <c:y val="5.2695417789757414E-2"/>
            </c:manualLayout>
          </c:layout>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62056663"/>
        <c:crosses val="autoZero"/>
        <c:auto val="1"/>
        <c:lblAlgn val="ctr"/>
        <c:lblOffset val="100"/>
        <c:noMultiLvlLbl val="1"/>
      </c:catAx>
      <c:valAx>
        <c:axId val="762056663"/>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sz="1600" b="0">
                    <a:solidFill>
                      <a:srgbClr val="000000"/>
                    </a:solidFill>
                    <a:latin typeface="+mn-lt"/>
                  </a:defRPr>
                </a:pPr>
                <a:r>
                  <a:rPr sz="1600" b="0">
                    <a:solidFill>
                      <a:srgbClr val="000000"/>
                    </a:solidFill>
                    <a:latin typeface="+mn-lt"/>
                  </a:rPr>
                  <a:t>Percentage of Dataset</a:t>
                </a:r>
              </a:p>
            </c:rich>
          </c:tx>
          <c:overlay val="0"/>
        </c:title>
        <c:numFmt formatCode="@" sourceLinked="1"/>
        <c:majorTickMark val="cross"/>
        <c:minorTickMark val="none"/>
        <c:tickLblPos val="nextTo"/>
        <c:spPr>
          <a:ln/>
        </c:spPr>
        <c:txPr>
          <a:bodyPr/>
          <a:lstStyle/>
          <a:p>
            <a:pPr lvl="0">
              <a:defRPr b="0">
                <a:solidFill>
                  <a:srgbClr val="000000"/>
                </a:solidFill>
                <a:latin typeface="+mn-lt"/>
              </a:defRPr>
            </a:pPr>
            <a:endParaRPr lang="en-US"/>
          </a:p>
        </c:txPr>
        <c:crossAx val="304061689"/>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stacked"/>
        <c:varyColors val="1"/>
        <c:ser>
          <c:idx val="0"/>
          <c:order val="0"/>
          <c:tx>
            <c:strRef>
              <c:f>'Participant Demographics'!$N$6</c:f>
              <c:strCache>
                <c:ptCount val="1"/>
                <c:pt idx="0">
                  <c:v>N</c:v>
                </c:pt>
              </c:strCache>
            </c:strRef>
          </c:tx>
          <c:spPr>
            <a:solidFill>
              <a:srgbClr val="4F81BD"/>
            </a:solidFill>
            <a:ln cmpd="sng">
              <a:solidFill>
                <a:srgbClr val="000000"/>
              </a:solidFill>
              <a:prstDash val="solid"/>
            </a:ln>
          </c:spPr>
          <c:invertIfNegative val="1"/>
          <c:cat>
            <c:strRef>
              <c:f>'Participant Demographics'!$M$7:$M$15</c:f>
              <c:strCache>
                <c:ptCount val="9"/>
                <c:pt idx="0">
                  <c:v>Healthy Adults</c:v>
                </c:pt>
                <c:pt idx="1">
                  <c:v>Older Adults</c:v>
                </c:pt>
                <c:pt idx="2">
                  <c:v>Osteoarthritis (OA)</c:v>
                </c:pt>
                <c:pt idx="3">
                  <c:v>Total Hip Replacement (THR)</c:v>
                </c:pt>
                <c:pt idx="4">
                  <c:v>Neurological (PD + other)</c:v>
                </c:pt>
                <c:pt idx="5">
                  <c:v>Amputees (all)</c:v>
                </c:pt>
                <c:pt idx="6">
                  <c:v>Parkinson's Disease</c:v>
                </c:pt>
                <c:pt idx="7">
                  <c:v>Clinical Mixed</c:v>
                </c:pt>
                <c:pt idx="8">
                  <c:v>Others (ACL, CAI, etc.)</c:v>
                </c:pt>
              </c:strCache>
            </c:strRef>
          </c:cat>
          <c:val>
            <c:numRef>
              <c:f>'Participant Demographics'!$N$7:$N$15</c:f>
              <c:numCache>
                <c:formatCode>General</c:formatCode>
                <c:ptCount val="9"/>
                <c:pt idx="0" formatCode="#,##0">
                  <c:v>1854</c:v>
                </c:pt>
                <c:pt idx="1">
                  <c:v>197</c:v>
                </c:pt>
                <c:pt idx="2">
                  <c:v>150</c:v>
                </c:pt>
                <c:pt idx="3">
                  <c:v>137</c:v>
                </c:pt>
                <c:pt idx="4">
                  <c:v>67</c:v>
                </c:pt>
                <c:pt idx="5">
                  <c:v>45</c:v>
                </c:pt>
                <c:pt idx="6">
                  <c:v>26</c:v>
                </c:pt>
                <c:pt idx="7">
                  <c:v>7</c:v>
                </c:pt>
                <c:pt idx="8">
                  <c:v>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5490-42F9-B923-DFA7F212C043}"/>
            </c:ext>
          </c:extLst>
        </c:ser>
        <c:dLbls>
          <c:showLegendKey val="0"/>
          <c:showVal val="0"/>
          <c:showCatName val="0"/>
          <c:showSerName val="0"/>
          <c:showPercent val="0"/>
          <c:showBubbleSize val="0"/>
        </c:dLbls>
        <c:gapWidth val="150"/>
        <c:overlap val="100"/>
        <c:axId val="1040849852"/>
        <c:axId val="1925397883"/>
      </c:barChart>
      <c:catAx>
        <c:axId val="1040849852"/>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cross"/>
        <c:minorTickMark val="none"/>
        <c:tickLblPos val="nextTo"/>
        <c:txPr>
          <a:bodyPr/>
          <a:lstStyle/>
          <a:p>
            <a:pPr lvl="0">
              <a:defRPr b="0">
                <a:solidFill>
                  <a:srgbClr val="000000"/>
                </a:solidFill>
                <a:latin typeface="+mn-lt"/>
              </a:defRPr>
            </a:pPr>
            <a:endParaRPr lang="en-US"/>
          </a:p>
        </c:txPr>
        <c:crossAx val="1925397883"/>
        <c:crosses val="autoZero"/>
        <c:auto val="1"/>
        <c:lblAlgn val="ctr"/>
        <c:lblOffset val="100"/>
        <c:noMultiLvlLbl val="1"/>
      </c:catAx>
      <c:valAx>
        <c:axId val="1925397883"/>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Number of Participants</a:t>
                </a:r>
              </a:p>
            </c:rich>
          </c:tx>
          <c:layout>
            <c:manualLayout>
              <c:xMode val="edge"/>
              <c:yMode val="edge"/>
              <c:x val="0.22688333333333338"/>
              <c:y val="0.88530997304582204"/>
            </c:manualLayout>
          </c:layout>
          <c:overlay val="0"/>
        </c:title>
        <c:numFmt formatCode="#,##0" sourceLinked="1"/>
        <c:majorTickMark val="cross"/>
        <c:minorTickMark val="none"/>
        <c:tickLblPos val="nextTo"/>
        <c:spPr>
          <a:ln/>
        </c:spPr>
        <c:txPr>
          <a:bodyPr/>
          <a:lstStyle/>
          <a:p>
            <a:pPr lvl="0">
              <a:defRPr b="0">
                <a:solidFill>
                  <a:srgbClr val="000000"/>
                </a:solidFill>
                <a:latin typeface="+mn-lt"/>
              </a:defRPr>
            </a:pPr>
            <a:endParaRPr lang="en-US"/>
          </a:p>
        </c:txPr>
        <c:crossAx val="1040849852"/>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QAS criterion profile (n = 81 datasets)</a:t>
            </a:r>
          </a:p>
        </c:rich>
      </c:tx>
      <c:overlay val="0"/>
    </c:title>
    <c:autoTitleDeleted val="0"/>
    <c:plotArea>
      <c:layout/>
      <c:barChart>
        <c:barDir val="bar"/>
        <c:grouping val="percentStacked"/>
        <c:varyColors val="0"/>
        <c:ser>
          <c:idx val="0"/>
          <c:order val="0"/>
          <c:tx>
            <c:strRef>
              <c:f>'Figure 4 - QAS profile'!$B$3</c:f>
              <c:strCache>
                <c:ptCount val="1"/>
                <c:pt idx="0">
                  <c:v>Score 0</c:v>
                </c:pt>
              </c:strCache>
            </c:strRef>
          </c:tx>
          <c:spPr>
            <a:solidFill>
              <a:srgbClr val="FF0000"/>
            </a:solidFill>
          </c:spPr>
          <c:invertIfNegative val="0"/>
          <c:dLbls>
            <c:spPr>
              <a:noFill/>
              <a:ln>
                <a:noFill/>
              </a:ln>
              <a:effectLst/>
            </c:spPr>
            <c:txPr>
              <a:bodyPr wrap="square" lIns="38100" tIns="19050" rIns="38100" bIns="19050" anchor="ctr">
                <a:spAutoFit/>
              </a:bodyPr>
              <a:lstStyle/>
              <a:p>
                <a:pPr>
                  <a:defRPr sz="9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'Figure 4 - QAS profile'!$A$4:$A$8</c:f>
              <c:strCache>
                <c:ptCount val="5"/>
                <c:pt idx="0">
                  <c:v>C1 Documentation clarity</c:v>
                </c:pt>
                <c:pt idx="1">
                  <c:v>C2 Metadata completeness</c:v>
                </c:pt>
                <c:pt idx="2">
                  <c:v>C3 Data accessibility</c:v>
                </c:pt>
                <c:pt idx="3">
                  <c:v>C4 Ethical compliance</c:v>
                </c:pt>
                <c:pt idx="4">
                  <c:v>C5 Data completeness</c:v>
                </c:pt>
              </c:strCache>
            </c:strRef>
          </c:cat>
          <c:val>
            <c:numRef>
              <c:f>'Figure 4 - QAS profile'!$B$4:$B$8</c:f>
              <c:numCache>
                <c:formatCode>General</c:formatCode>
                <c:ptCount val="5"/>
                <c:pt idx="0">
                  <c:v>1</c:v>
                </c:pt>
                <c:pt idx="1">
                  <c:v>7</c:v>
                </c:pt>
                <c:pt idx="2">
                  <c:v>1</c:v>
                </c:pt>
                <c:pt idx="3">
                  <c:v>33</c:v>
                </c:pt>
                <c:pt idx="4">
                  <c:v>0</c:v>
                </c:pt>
              </c:numCache>
            </c:numRef>
          </c:val>
          <c:extLst>
            <c:ext xmlns:c16="http://schemas.microsoft.com/office/drawing/2014/chart" uri="{C3380CC4-5D6E-409C-BE32-E72D297353CC}">
              <c16:uniqueId val="{00000001-140D-4034-AA3A-E4EC2B7B0E6E}"/>
            </c:ext>
          </c:extLst>
        </c:ser>
        <c:ser>
          <c:idx val="1"/>
          <c:order val="1"/>
          <c:tx>
            <c:strRef>
              <c:f>'Figure 4 - QAS profile'!$C$3</c:f>
              <c:strCache>
                <c:ptCount val="1"/>
                <c:pt idx="0">
                  <c:v>Score 1</c:v>
                </c:pt>
              </c:strCache>
            </c:strRef>
          </c:tx>
          <c:spPr>
            <a:solidFill>
              <a:srgbClr val="FFC000"/>
            </a:solidFill>
          </c:spPr>
          <c:invertIfNegative val="0"/>
          <c:dLbls>
            <c:spPr>
              <a:noFill/>
              <a:ln>
                <a:noFill/>
              </a:ln>
              <a:effectLst/>
            </c:spPr>
            <c:txPr>
              <a:bodyPr wrap="square" lIns="38100" tIns="19050" rIns="38100" bIns="19050" anchor="ctr">
                <a:spAutoFit/>
              </a:bodyPr>
              <a:lstStyle/>
              <a:p>
                <a:pPr>
                  <a:defRPr sz="9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'Figure 4 - QAS profile'!$A$4:$A$8</c:f>
              <c:strCache>
                <c:ptCount val="5"/>
                <c:pt idx="0">
                  <c:v>C1 Documentation clarity</c:v>
                </c:pt>
                <c:pt idx="1">
                  <c:v>C2 Metadata completeness</c:v>
                </c:pt>
                <c:pt idx="2">
                  <c:v>C3 Data accessibility</c:v>
                </c:pt>
                <c:pt idx="3">
                  <c:v>C4 Ethical compliance</c:v>
                </c:pt>
                <c:pt idx="4">
                  <c:v>C5 Data completeness</c:v>
                </c:pt>
              </c:strCache>
            </c:strRef>
          </c:cat>
          <c:val>
            <c:numRef>
              <c:f>'Figure 4 - QAS profile'!$C$4:$C$8</c:f>
              <c:numCache>
                <c:formatCode>General</c:formatCode>
                <c:ptCount val="5"/>
                <c:pt idx="0">
                  <c:v>30</c:v>
                </c:pt>
                <c:pt idx="1">
                  <c:v>35</c:v>
                </c:pt>
                <c:pt idx="2">
                  <c:v>40</c:v>
                </c:pt>
                <c:pt idx="3">
                  <c:v>5</c:v>
                </c:pt>
                <c:pt idx="4">
                  <c:v>46</c:v>
                </c:pt>
              </c:numCache>
            </c:numRef>
          </c:val>
          <c:extLst>
            <c:ext xmlns:c16="http://schemas.microsoft.com/office/drawing/2014/chart" uri="{C3380CC4-5D6E-409C-BE32-E72D297353CC}">
              <c16:uniqueId val="{00000002-140D-4034-AA3A-E4EC2B7B0E6E}"/>
            </c:ext>
          </c:extLst>
        </c:ser>
        <c:ser>
          <c:idx val="2"/>
          <c:order val="2"/>
          <c:tx>
            <c:strRef>
              <c:f>'Figure 4 - QAS profile'!$D$3</c:f>
              <c:strCache>
                <c:ptCount val="1"/>
                <c:pt idx="0">
                  <c:v>Score 2</c:v>
                </c:pt>
              </c:strCache>
            </c:strRef>
          </c:tx>
          <c:spPr>
            <a:solidFill>
              <a:srgbClr val="00B050"/>
            </a:solidFill>
          </c:spPr>
          <c:invertIfNegative val="0"/>
          <c:dLbls>
            <c:spPr>
              <a:noFill/>
              <a:ln>
                <a:noFill/>
              </a:ln>
              <a:effectLst/>
            </c:spPr>
            <c:txPr>
              <a:bodyPr wrap="square" lIns="38100" tIns="19050" rIns="38100" bIns="19050" anchor="ctr">
                <a:spAutoFit/>
              </a:bodyPr>
              <a:lstStyle/>
              <a:p>
                <a:pPr>
                  <a:defRPr sz="9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'Figure 4 - QAS profile'!$A$4:$A$8</c:f>
              <c:strCache>
                <c:ptCount val="5"/>
                <c:pt idx="0">
                  <c:v>C1 Documentation clarity</c:v>
                </c:pt>
                <c:pt idx="1">
                  <c:v>C2 Metadata completeness</c:v>
                </c:pt>
                <c:pt idx="2">
                  <c:v>C3 Data accessibility</c:v>
                </c:pt>
                <c:pt idx="3">
                  <c:v>C4 Ethical compliance</c:v>
                </c:pt>
                <c:pt idx="4">
                  <c:v>C5 Data completeness</c:v>
                </c:pt>
              </c:strCache>
            </c:strRef>
          </c:cat>
          <c:val>
            <c:numRef>
              <c:f>'Figure 4 - QAS profile'!$D$4:$D$8</c:f>
              <c:numCache>
                <c:formatCode>General</c:formatCode>
                <c:ptCount val="5"/>
                <c:pt idx="0">
                  <c:v>50</c:v>
                </c:pt>
                <c:pt idx="1">
                  <c:v>39</c:v>
                </c:pt>
                <c:pt idx="2">
                  <c:v>40</c:v>
                </c:pt>
                <c:pt idx="3">
                  <c:v>43</c:v>
                </c:pt>
                <c:pt idx="4">
                  <c:v>35</c:v>
                </c:pt>
              </c:numCache>
            </c:numRef>
          </c:val>
          <c:extLst>
            <c:ext xmlns:c16="http://schemas.microsoft.com/office/drawing/2014/chart" uri="{C3380CC4-5D6E-409C-BE32-E72D297353CC}">
              <c16:uniqueId val="{00000003-140D-4034-AA3A-E4EC2B7B0E6E}"/>
            </c:ext>
          </c:extLst>
        </c:ser>
        <c:dLbls>
          <c:showLegendKey val="0"/>
          <c:showVal val="0"/>
          <c:showCatName val="0"/>
          <c:showSerName val="0"/>
          <c:showPercent val="0"/>
          <c:showBubbleSize val="0"/>
        </c:dLbls>
        <c:gapWidth val="150"/>
        <c:overlap val="100"/>
        <c:axId val="85375503"/>
        <c:axId val="85379823"/>
      </c:barChart>
      <c:catAx>
        <c:axId val="85375503"/>
        <c:scaling>
          <c:orientation val="maxMin"/>
        </c:scaling>
        <c:delete val="0"/>
        <c:axPos val="l"/>
        <c:numFmt formatCode="General" sourceLinked="1"/>
        <c:majorTickMark val="none"/>
        <c:minorTickMark val="none"/>
        <c:tickLblPos val="nextTo"/>
        <c:crossAx val="85379823"/>
        <c:crosses val="autoZero"/>
        <c:auto val="1"/>
        <c:lblAlgn val="ctr"/>
        <c:lblOffset val="100"/>
        <c:noMultiLvlLbl val="0"/>
      </c:catAx>
      <c:valAx>
        <c:axId val="85379823"/>
        <c:scaling>
          <c:orientation val="minMax"/>
        </c:scaling>
        <c:delete val="0"/>
        <c:axPos val="t"/>
        <c:numFmt formatCode="0%" sourceLinked="1"/>
        <c:majorTickMark val="none"/>
        <c:minorTickMark val="none"/>
        <c:tickLblPos val="none"/>
        <c:spPr>
          <a:noFill/>
          <a:ln w="6350" cap="flat" cmpd="sng" algn="ctr">
            <a:noFill/>
            <a:prstDash val="solid"/>
            <a:round/>
          </a:ln>
          <a:effectLst/>
          <a:extLst>
            <a:ext uri="{91240B29-F687-4F45-9708-019B960494DF}">
              <a14:hiddenLine xmlns:a14="http://schemas.microsoft.com/office/drawing/2010/main" w="6350" cap="flat" cmpd="sng" algn="ctr">
                <a:solidFill>
                  <a:srgbClr val="000000">
                    <a:tint val="75000"/>
                  </a:srgbClr>
                </a:solidFill>
                <a:prstDash val="solid"/>
                <a:round/>
              </a14:hiddenLine>
            </a:ext>
          </a:extLst>
        </c:spPr>
        <c:crossAx val="85375503"/>
        <c:crosses val="autoZero"/>
        <c:crossBetween val="between"/>
      </c:valAx>
      <c:spPr>
        <a:solidFill>
          <a:srgbClr val="FFFFFF"/>
        </a:solidFill>
        <a:ln>
          <a:noFill/>
        </a:ln>
        <a:effectLst/>
        <a:extLst>
          <a:ext uri="{91240B29-F687-4F45-9708-019B960494DF}">
            <a14:hiddenLine xmlns:a14="http://schemas.microsoft.com/office/drawing/2010/main">
              <a:noFill/>
            </a14:hiddenLine>
          </a:ext>
        </a:extLst>
      </c:spPr>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6350" cap="flat" cmpd="sng" algn="ctr">
      <a:noFill/>
      <a:prstDash val="solid"/>
      <a:round/>
    </a:ln>
    <a:effectLst/>
    <a:extLst>
      <a:ext uri="{91240B29-F687-4F45-9708-019B960494DF}">
        <a14:hiddenLine xmlns:a14="http://schemas.microsoft.com/office/drawing/2010/main" w="6350" cap="flat" cmpd="sng" algn="ctr">
          <a:solidFill>
            <a:srgbClr val="000000">
              <a:tint val="75000"/>
            </a:srgbClr>
          </a:solidFill>
          <a:prstDash val="solid"/>
          <a:round/>
        </a14:hiddenLine>
      </a:ext>
    </a:ex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 Activity category by population group (dataset counts)</a:t>
            </a:r>
          </a:p>
        </c:rich>
      </c:tx>
      <c:overlay val="0"/>
    </c:title>
    <c:autoTitleDeleted val="0"/>
    <c:plotArea>
      <c:layout/>
      <c:barChart>
        <c:barDir val="bar"/>
        <c:grouping val="stacked"/>
        <c:varyColors val="0"/>
        <c:ser>
          <c:idx val="0"/>
          <c:order val="0"/>
          <c:tx>
            <c:strRef>
              <c:f>'Figure 5 - cross-domain'!$B$4</c:f>
              <c:strCache>
                <c:ptCount val="1"/>
                <c:pt idx="0">
                  <c:v>Healthy</c:v>
                </c:pt>
              </c:strCache>
            </c:strRef>
          </c:tx>
          <c:spPr>
            <a:solidFill>
              <a:srgbClr val="9EB6CE"/>
            </a:solidFill>
          </c:spPr>
          <c:invertIfNegative val="0"/>
          <c:dLbls>
            <c:numFmt formatCode="#,##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'Figure 5 - cross-domain'!$A$5:$A$11</c:f>
              <c:strCache>
                <c:ptCount val="7"/>
                <c:pt idx="0">
                  <c:v>Gait &amp; Locomotion</c:v>
                </c:pt>
                <c:pt idx="1">
                  <c:v>ADL / Complex Multi-Task</c:v>
                </c:pt>
                <c:pt idx="2">
                  <c:v>Sport / Exercise</c:v>
                </c:pt>
                <c:pt idx="3">
                  <c:v>Upper Limb</c:v>
                </c:pt>
                <c:pt idx="4">
                  <c:v>Balance &amp; Posture</c:v>
                </c:pt>
                <c:pt idx="5">
                  <c:v>Occupational</c:v>
                </c:pt>
                <c:pt idx="6">
                  <c:v>Other</c:v>
                </c:pt>
              </c:strCache>
            </c:strRef>
          </c:cat>
          <c:val>
            <c:numRef>
              <c:f>'Figure 5 - cross-domain'!$B$5:$B$11</c:f>
              <c:numCache>
                <c:formatCode>General</c:formatCode>
                <c:ptCount val="7"/>
                <c:pt idx="0">
                  <c:v>30</c:v>
                </c:pt>
                <c:pt idx="1">
                  <c:v>12</c:v>
                </c:pt>
                <c:pt idx="2">
                  <c:v>3</c:v>
                </c:pt>
                <c:pt idx="3">
                  <c:v>4</c:v>
                </c:pt>
                <c:pt idx="4">
                  <c:v>5</c:v>
                </c:pt>
                <c:pt idx="5">
                  <c:v>3</c:v>
                </c:pt>
                <c:pt idx="6">
                  <c:v>3</c:v>
                </c:pt>
              </c:numCache>
            </c:numRef>
          </c:val>
          <c:extLst>
            <c:ext xmlns:c16="http://schemas.microsoft.com/office/drawing/2014/chart" uri="{C3380CC4-5D6E-409C-BE32-E72D297353CC}">
              <c16:uniqueId val="{00000001-9C97-4E5A-9A54-4A2D37FC8156}"/>
            </c:ext>
          </c:extLst>
        </c:ser>
        <c:ser>
          <c:idx val="1"/>
          <c:order val="1"/>
          <c:tx>
            <c:strRef>
              <c:f>'Figure 5 - cross-domain'!$C$4</c:f>
              <c:strCache>
                <c:ptCount val="1"/>
                <c:pt idx="0">
                  <c:v>Older</c:v>
                </c:pt>
              </c:strCache>
            </c:strRef>
          </c:tx>
          <c:spPr>
            <a:solidFill>
              <a:srgbClr val="5B9BD5"/>
            </a:solidFill>
          </c:spPr>
          <c:invertIfNegative val="0"/>
          <c:dLbls>
            <c:numFmt formatCode="#,##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'Figure 5 - cross-domain'!$A$5:$A$11</c:f>
              <c:strCache>
                <c:ptCount val="7"/>
                <c:pt idx="0">
                  <c:v>Gait &amp; Locomotion</c:v>
                </c:pt>
                <c:pt idx="1">
                  <c:v>ADL / Complex Multi-Task</c:v>
                </c:pt>
                <c:pt idx="2">
                  <c:v>Sport / Exercise</c:v>
                </c:pt>
                <c:pt idx="3">
                  <c:v>Upper Limb</c:v>
                </c:pt>
                <c:pt idx="4">
                  <c:v>Balance &amp; Posture</c:v>
                </c:pt>
                <c:pt idx="5">
                  <c:v>Occupational</c:v>
                </c:pt>
                <c:pt idx="6">
                  <c:v>Other</c:v>
                </c:pt>
              </c:strCache>
            </c:strRef>
          </c:cat>
          <c:val>
            <c:numRef>
              <c:f>'Figure 5 - cross-domain'!$C$5:$C$11</c:f>
              <c:numCache>
                <c:formatCode>General</c:formatCode>
                <c:ptCount val="7"/>
                <c:pt idx="0">
                  <c:v>3</c:v>
                </c:pt>
                <c:pt idx="1">
                  <c:v>1</c:v>
                </c:pt>
                <c:pt idx="2">
                  <c:v>0</c:v>
                </c:pt>
                <c:pt idx="3">
                  <c:v>0</c:v>
                </c:pt>
                <c:pt idx="4">
                  <c:v>0</c:v>
                </c:pt>
                <c:pt idx="5">
                  <c:v>0</c:v>
                </c:pt>
                <c:pt idx="6">
                  <c:v>0</c:v>
                </c:pt>
              </c:numCache>
            </c:numRef>
          </c:val>
          <c:extLst>
            <c:ext xmlns:c16="http://schemas.microsoft.com/office/drawing/2014/chart" uri="{C3380CC4-5D6E-409C-BE32-E72D297353CC}">
              <c16:uniqueId val="{00000002-9C97-4E5A-9A54-4A2D37FC8156}"/>
            </c:ext>
          </c:extLst>
        </c:ser>
        <c:ser>
          <c:idx val="2"/>
          <c:order val="2"/>
          <c:tx>
            <c:strRef>
              <c:f>'Figure 5 - cross-domain'!$D$4</c:f>
              <c:strCache>
                <c:ptCount val="1"/>
                <c:pt idx="0">
                  <c:v>Clinical</c:v>
                </c:pt>
              </c:strCache>
            </c:strRef>
          </c:tx>
          <c:spPr>
            <a:solidFill>
              <a:srgbClr val="C00000"/>
            </a:solidFill>
          </c:spPr>
          <c:invertIfNegative val="0"/>
          <c:dLbls>
            <c:numFmt formatCode="#,##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'Figure 5 - cross-domain'!$A$5:$A$11</c:f>
              <c:strCache>
                <c:ptCount val="7"/>
                <c:pt idx="0">
                  <c:v>Gait &amp; Locomotion</c:v>
                </c:pt>
                <c:pt idx="1">
                  <c:v>ADL / Complex Multi-Task</c:v>
                </c:pt>
                <c:pt idx="2">
                  <c:v>Sport / Exercise</c:v>
                </c:pt>
                <c:pt idx="3">
                  <c:v>Upper Limb</c:v>
                </c:pt>
                <c:pt idx="4">
                  <c:v>Balance &amp; Posture</c:v>
                </c:pt>
                <c:pt idx="5">
                  <c:v>Occupational</c:v>
                </c:pt>
                <c:pt idx="6">
                  <c:v>Other</c:v>
                </c:pt>
              </c:strCache>
            </c:strRef>
          </c:cat>
          <c:val>
            <c:numRef>
              <c:f>'Figure 5 - cross-domain'!$D$5:$D$11</c:f>
              <c:numCache>
                <c:formatCode>General</c:formatCode>
                <c:ptCount val="7"/>
                <c:pt idx="0">
                  <c:v>3</c:v>
                </c:pt>
                <c:pt idx="1">
                  <c:v>2</c:v>
                </c:pt>
                <c:pt idx="2">
                  <c:v>1</c:v>
                </c:pt>
                <c:pt idx="3">
                  <c:v>0</c:v>
                </c:pt>
                <c:pt idx="4">
                  <c:v>0</c:v>
                </c:pt>
                <c:pt idx="5">
                  <c:v>0</c:v>
                </c:pt>
                <c:pt idx="6">
                  <c:v>0</c:v>
                </c:pt>
              </c:numCache>
            </c:numRef>
          </c:val>
          <c:extLst>
            <c:ext xmlns:c16="http://schemas.microsoft.com/office/drawing/2014/chart" uri="{C3380CC4-5D6E-409C-BE32-E72D297353CC}">
              <c16:uniqueId val="{00000003-9C97-4E5A-9A54-4A2D37FC8156}"/>
            </c:ext>
          </c:extLst>
        </c:ser>
        <c:ser>
          <c:idx val="3"/>
          <c:order val="3"/>
          <c:tx>
            <c:strRef>
              <c:f>'Figure 5 - cross-domain'!$E$4</c:f>
              <c:strCache>
                <c:ptCount val="1"/>
                <c:pt idx="0">
                  <c:v>Mixed</c:v>
                </c:pt>
              </c:strCache>
            </c:strRef>
          </c:tx>
          <c:spPr>
            <a:solidFill>
              <a:srgbClr val="ED7D31"/>
            </a:solidFill>
          </c:spPr>
          <c:invertIfNegative val="0"/>
          <c:dLbls>
            <c:numFmt formatCode="#,##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'Figure 5 - cross-domain'!$A$5:$A$11</c:f>
              <c:strCache>
                <c:ptCount val="7"/>
                <c:pt idx="0">
                  <c:v>Gait &amp; Locomotion</c:v>
                </c:pt>
                <c:pt idx="1">
                  <c:v>ADL / Complex Multi-Task</c:v>
                </c:pt>
                <c:pt idx="2">
                  <c:v>Sport / Exercise</c:v>
                </c:pt>
                <c:pt idx="3">
                  <c:v>Upper Limb</c:v>
                </c:pt>
                <c:pt idx="4">
                  <c:v>Balance &amp; Posture</c:v>
                </c:pt>
                <c:pt idx="5">
                  <c:v>Occupational</c:v>
                </c:pt>
                <c:pt idx="6">
                  <c:v>Other</c:v>
                </c:pt>
              </c:strCache>
            </c:strRef>
          </c:cat>
          <c:val>
            <c:numRef>
              <c:f>'Figure 5 - cross-domain'!$E$5:$E$11</c:f>
              <c:numCache>
                <c:formatCode>General</c:formatCode>
                <c:ptCount val="7"/>
                <c:pt idx="0">
                  <c:v>3</c:v>
                </c:pt>
                <c:pt idx="1">
                  <c:v>1</c:v>
                </c:pt>
                <c:pt idx="2">
                  <c:v>2</c:v>
                </c:pt>
                <c:pt idx="3">
                  <c:v>1</c:v>
                </c:pt>
                <c:pt idx="4">
                  <c:v>0</c:v>
                </c:pt>
                <c:pt idx="5">
                  <c:v>0</c:v>
                </c:pt>
                <c:pt idx="6">
                  <c:v>0</c:v>
                </c:pt>
              </c:numCache>
            </c:numRef>
          </c:val>
          <c:extLst>
            <c:ext xmlns:c16="http://schemas.microsoft.com/office/drawing/2014/chart" uri="{C3380CC4-5D6E-409C-BE32-E72D297353CC}">
              <c16:uniqueId val="{00000004-9C97-4E5A-9A54-4A2D37FC8156}"/>
            </c:ext>
          </c:extLst>
        </c:ser>
        <c:ser>
          <c:idx val="4"/>
          <c:order val="4"/>
          <c:tx>
            <c:strRef>
              <c:f>'Figure 5 - cross-domain'!$F$4</c:f>
              <c:strCache>
                <c:ptCount val="1"/>
                <c:pt idx="0">
                  <c:v>Not Reported</c:v>
                </c:pt>
              </c:strCache>
            </c:strRef>
          </c:tx>
          <c:spPr>
            <a:solidFill>
              <a:srgbClr val="BFBFBF"/>
            </a:solidFill>
          </c:spPr>
          <c:invertIfNegative val="0"/>
          <c:dLbls>
            <c:numFmt formatCode="#,##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'Figure 5 - cross-domain'!$A$5:$A$11</c:f>
              <c:strCache>
                <c:ptCount val="7"/>
                <c:pt idx="0">
                  <c:v>Gait &amp; Locomotion</c:v>
                </c:pt>
                <c:pt idx="1">
                  <c:v>ADL / Complex Multi-Task</c:v>
                </c:pt>
                <c:pt idx="2">
                  <c:v>Sport / Exercise</c:v>
                </c:pt>
                <c:pt idx="3">
                  <c:v>Upper Limb</c:v>
                </c:pt>
                <c:pt idx="4">
                  <c:v>Balance &amp; Posture</c:v>
                </c:pt>
                <c:pt idx="5">
                  <c:v>Occupational</c:v>
                </c:pt>
                <c:pt idx="6">
                  <c:v>Other</c:v>
                </c:pt>
              </c:strCache>
            </c:strRef>
          </c:cat>
          <c:val>
            <c:numRef>
              <c:f>'Figure 5 - cross-domain'!$F$5:$F$11</c:f>
              <c:numCache>
                <c:formatCode>General</c:formatCode>
                <c:ptCount val="7"/>
                <c:pt idx="0">
                  <c:v>3</c:v>
                </c:pt>
                <c:pt idx="1">
                  <c:v>0</c:v>
                </c:pt>
                <c:pt idx="2">
                  <c:v>0</c:v>
                </c:pt>
                <c:pt idx="3">
                  <c:v>0</c:v>
                </c:pt>
                <c:pt idx="4">
                  <c:v>0</c:v>
                </c:pt>
                <c:pt idx="5">
                  <c:v>1</c:v>
                </c:pt>
                <c:pt idx="6">
                  <c:v>0</c:v>
                </c:pt>
              </c:numCache>
            </c:numRef>
          </c:val>
          <c:extLst>
            <c:ext xmlns:c16="http://schemas.microsoft.com/office/drawing/2014/chart" uri="{C3380CC4-5D6E-409C-BE32-E72D297353CC}">
              <c16:uniqueId val="{00000005-9C97-4E5A-9A54-4A2D37FC8156}"/>
            </c:ext>
          </c:extLst>
        </c:ser>
        <c:dLbls>
          <c:showLegendKey val="0"/>
          <c:showVal val="0"/>
          <c:showCatName val="0"/>
          <c:showSerName val="0"/>
          <c:showPercent val="0"/>
          <c:showBubbleSize val="0"/>
        </c:dLbls>
        <c:gapWidth val="150"/>
        <c:overlap val="100"/>
        <c:axId val="199086735"/>
        <c:axId val="199082895"/>
      </c:barChart>
      <c:catAx>
        <c:axId val="199086735"/>
        <c:scaling>
          <c:orientation val="maxMin"/>
        </c:scaling>
        <c:delete val="0"/>
        <c:axPos val="l"/>
        <c:numFmt formatCode="General" sourceLinked="1"/>
        <c:majorTickMark val="none"/>
        <c:minorTickMark val="none"/>
        <c:tickLblPos val="nextTo"/>
        <c:crossAx val="199082895"/>
        <c:crosses val="autoZero"/>
        <c:auto val="1"/>
        <c:lblAlgn val="ctr"/>
        <c:lblOffset val="100"/>
        <c:noMultiLvlLbl val="0"/>
      </c:catAx>
      <c:valAx>
        <c:axId val="199082895"/>
        <c:scaling>
          <c:orientation val="minMax"/>
        </c:scaling>
        <c:delete val="0"/>
        <c:axPos val="t"/>
        <c:numFmt formatCode="General" sourceLinked="1"/>
        <c:majorTickMark val="none"/>
        <c:minorTickMark val="none"/>
        <c:tickLblPos val="nextTo"/>
        <c:crossAx val="199086735"/>
        <c:crosses val="autoZero"/>
        <c:crossBetween val="between"/>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6350" cap="flat" cmpd="sng" algn="ctr">
      <a:noFill/>
      <a:prstDash val="solid"/>
      <a:round/>
    </a:ln>
    <a:effectLst/>
    <a:extLst>
      <a:ext uri="{91240B29-F687-4F45-9708-019B960494DF}">
        <a14:hiddenLine xmlns:a14="http://schemas.microsoft.com/office/drawing/2010/main" w="6350" cap="flat" cmpd="sng" algn="ctr">
          <a:solidFill>
            <a:srgbClr val="000000">
              <a:tint val="75000"/>
            </a:srgbClr>
          </a:solidFill>
          <a:prstDash val="solid"/>
          <a:round/>
        </a14:hiddenLine>
      </a:ext>
    </a:ex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 Sensing configuration by population group (dataset counts)</a:t>
            </a:r>
          </a:p>
        </c:rich>
      </c:tx>
      <c:overlay val="0"/>
    </c:title>
    <c:autoTitleDeleted val="0"/>
    <c:plotArea>
      <c:layout/>
      <c:barChart>
        <c:barDir val="bar"/>
        <c:grouping val="stacked"/>
        <c:varyColors val="0"/>
        <c:ser>
          <c:idx val="0"/>
          <c:order val="0"/>
          <c:tx>
            <c:strRef>
              <c:f>'Figure 5 - cross-domain'!$B$15</c:f>
              <c:strCache>
                <c:ptCount val="1"/>
                <c:pt idx="0">
                  <c:v>Healthy</c:v>
                </c:pt>
              </c:strCache>
            </c:strRef>
          </c:tx>
          <c:spPr>
            <a:solidFill>
              <a:srgbClr val="9EB6CE"/>
            </a:solidFill>
          </c:spPr>
          <c:invertIfNegative val="0"/>
          <c:dLbls>
            <c:numFmt formatCode="#,##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'Figure 5 - cross-domain'!$A$16:$A$22</c:f>
              <c:strCache>
                <c:ptCount val="7"/>
                <c:pt idx="0">
                  <c:v>Force Plate + Markers</c:v>
                </c:pt>
                <c:pt idx="1">
                  <c:v>Other Combinations</c:v>
                </c:pt>
                <c:pt idx="2">
                  <c:v>Marker Only</c:v>
                </c:pt>
                <c:pt idx="3">
                  <c:v>IMU Only</c:v>
                </c:pt>
                <c:pt idx="4">
                  <c:v>IMU + Markers</c:v>
                </c:pt>
                <c:pt idx="5">
                  <c:v>IMU + Force Plates + Markers</c:v>
                </c:pt>
                <c:pt idx="6">
                  <c:v>Video / Webcam Only</c:v>
                </c:pt>
              </c:strCache>
            </c:strRef>
          </c:cat>
          <c:val>
            <c:numRef>
              <c:f>'Figure 5 - cross-domain'!$B$16:$B$22</c:f>
              <c:numCache>
                <c:formatCode>General</c:formatCode>
                <c:ptCount val="7"/>
                <c:pt idx="0">
                  <c:v>15</c:v>
                </c:pt>
                <c:pt idx="1">
                  <c:v>17</c:v>
                </c:pt>
                <c:pt idx="2">
                  <c:v>9</c:v>
                </c:pt>
                <c:pt idx="3">
                  <c:v>5</c:v>
                </c:pt>
                <c:pt idx="4">
                  <c:v>7</c:v>
                </c:pt>
                <c:pt idx="5">
                  <c:v>5</c:v>
                </c:pt>
                <c:pt idx="6">
                  <c:v>2</c:v>
                </c:pt>
              </c:numCache>
            </c:numRef>
          </c:val>
          <c:extLst>
            <c:ext xmlns:c16="http://schemas.microsoft.com/office/drawing/2014/chart" uri="{C3380CC4-5D6E-409C-BE32-E72D297353CC}">
              <c16:uniqueId val="{00000001-77A5-4F61-BFD4-59EA7F281B5F}"/>
            </c:ext>
          </c:extLst>
        </c:ser>
        <c:ser>
          <c:idx val="1"/>
          <c:order val="1"/>
          <c:tx>
            <c:strRef>
              <c:f>'Figure 5 - cross-domain'!$C$15</c:f>
              <c:strCache>
                <c:ptCount val="1"/>
                <c:pt idx="0">
                  <c:v>Older</c:v>
                </c:pt>
              </c:strCache>
            </c:strRef>
          </c:tx>
          <c:spPr>
            <a:solidFill>
              <a:srgbClr val="5B9BD5"/>
            </a:solidFill>
          </c:spPr>
          <c:invertIfNegative val="0"/>
          <c:dLbls>
            <c:numFmt formatCode="#,##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'Figure 5 - cross-domain'!$A$16:$A$22</c:f>
              <c:strCache>
                <c:ptCount val="7"/>
                <c:pt idx="0">
                  <c:v>Force Plate + Markers</c:v>
                </c:pt>
                <c:pt idx="1">
                  <c:v>Other Combinations</c:v>
                </c:pt>
                <c:pt idx="2">
                  <c:v>Marker Only</c:v>
                </c:pt>
                <c:pt idx="3">
                  <c:v>IMU Only</c:v>
                </c:pt>
                <c:pt idx="4">
                  <c:v>IMU + Markers</c:v>
                </c:pt>
                <c:pt idx="5">
                  <c:v>IMU + Force Plates + Markers</c:v>
                </c:pt>
                <c:pt idx="6">
                  <c:v>Video / Webcam Only</c:v>
                </c:pt>
              </c:strCache>
            </c:strRef>
          </c:cat>
          <c:val>
            <c:numRef>
              <c:f>'Figure 5 - cross-domain'!$C$16:$C$22</c:f>
              <c:numCache>
                <c:formatCode>General</c:formatCode>
                <c:ptCount val="7"/>
                <c:pt idx="0">
                  <c:v>0</c:v>
                </c:pt>
                <c:pt idx="1">
                  <c:v>0</c:v>
                </c:pt>
                <c:pt idx="2">
                  <c:v>1</c:v>
                </c:pt>
                <c:pt idx="3">
                  <c:v>3</c:v>
                </c:pt>
                <c:pt idx="4">
                  <c:v>0</c:v>
                </c:pt>
                <c:pt idx="5">
                  <c:v>0</c:v>
                </c:pt>
                <c:pt idx="6">
                  <c:v>0</c:v>
                </c:pt>
              </c:numCache>
            </c:numRef>
          </c:val>
          <c:extLst>
            <c:ext xmlns:c16="http://schemas.microsoft.com/office/drawing/2014/chart" uri="{C3380CC4-5D6E-409C-BE32-E72D297353CC}">
              <c16:uniqueId val="{00000002-77A5-4F61-BFD4-59EA7F281B5F}"/>
            </c:ext>
          </c:extLst>
        </c:ser>
        <c:ser>
          <c:idx val="2"/>
          <c:order val="2"/>
          <c:tx>
            <c:strRef>
              <c:f>'Figure 5 - cross-domain'!$D$15</c:f>
              <c:strCache>
                <c:ptCount val="1"/>
                <c:pt idx="0">
                  <c:v>Clinical</c:v>
                </c:pt>
              </c:strCache>
            </c:strRef>
          </c:tx>
          <c:spPr>
            <a:solidFill>
              <a:srgbClr val="C00000"/>
            </a:solidFill>
          </c:spPr>
          <c:invertIfNegative val="0"/>
          <c:dLbls>
            <c:numFmt formatCode="#,##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'Figure 5 - cross-domain'!$A$16:$A$22</c:f>
              <c:strCache>
                <c:ptCount val="7"/>
                <c:pt idx="0">
                  <c:v>Force Plate + Markers</c:v>
                </c:pt>
                <c:pt idx="1">
                  <c:v>Other Combinations</c:v>
                </c:pt>
                <c:pt idx="2">
                  <c:v>Marker Only</c:v>
                </c:pt>
                <c:pt idx="3">
                  <c:v>IMU Only</c:v>
                </c:pt>
                <c:pt idx="4">
                  <c:v>IMU + Markers</c:v>
                </c:pt>
                <c:pt idx="5">
                  <c:v>IMU + Force Plates + Markers</c:v>
                </c:pt>
                <c:pt idx="6">
                  <c:v>Video / Webcam Only</c:v>
                </c:pt>
              </c:strCache>
            </c:strRef>
          </c:cat>
          <c:val>
            <c:numRef>
              <c:f>'Figure 5 - cross-domain'!$D$16:$D$22</c:f>
              <c:numCache>
                <c:formatCode>General</c:formatCode>
                <c:ptCount val="7"/>
                <c:pt idx="0">
                  <c:v>4</c:v>
                </c:pt>
                <c:pt idx="1">
                  <c:v>1</c:v>
                </c:pt>
                <c:pt idx="2">
                  <c:v>1</c:v>
                </c:pt>
                <c:pt idx="3">
                  <c:v>0</c:v>
                </c:pt>
                <c:pt idx="4">
                  <c:v>0</c:v>
                </c:pt>
                <c:pt idx="5">
                  <c:v>0</c:v>
                </c:pt>
                <c:pt idx="6">
                  <c:v>0</c:v>
                </c:pt>
              </c:numCache>
            </c:numRef>
          </c:val>
          <c:extLst>
            <c:ext xmlns:c16="http://schemas.microsoft.com/office/drawing/2014/chart" uri="{C3380CC4-5D6E-409C-BE32-E72D297353CC}">
              <c16:uniqueId val="{00000003-77A5-4F61-BFD4-59EA7F281B5F}"/>
            </c:ext>
          </c:extLst>
        </c:ser>
        <c:ser>
          <c:idx val="3"/>
          <c:order val="3"/>
          <c:tx>
            <c:strRef>
              <c:f>'Figure 5 - cross-domain'!$E$15</c:f>
              <c:strCache>
                <c:ptCount val="1"/>
                <c:pt idx="0">
                  <c:v>Mixed</c:v>
                </c:pt>
              </c:strCache>
            </c:strRef>
          </c:tx>
          <c:spPr>
            <a:solidFill>
              <a:srgbClr val="ED7D31"/>
            </a:solidFill>
          </c:spPr>
          <c:invertIfNegative val="0"/>
          <c:dLbls>
            <c:numFmt formatCode="#,##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'Figure 5 - cross-domain'!$A$16:$A$22</c:f>
              <c:strCache>
                <c:ptCount val="7"/>
                <c:pt idx="0">
                  <c:v>Force Plate + Markers</c:v>
                </c:pt>
                <c:pt idx="1">
                  <c:v>Other Combinations</c:v>
                </c:pt>
                <c:pt idx="2">
                  <c:v>Marker Only</c:v>
                </c:pt>
                <c:pt idx="3">
                  <c:v>IMU Only</c:v>
                </c:pt>
                <c:pt idx="4">
                  <c:v>IMU + Markers</c:v>
                </c:pt>
                <c:pt idx="5">
                  <c:v>IMU + Force Plates + Markers</c:v>
                </c:pt>
                <c:pt idx="6">
                  <c:v>Video / Webcam Only</c:v>
                </c:pt>
              </c:strCache>
            </c:strRef>
          </c:cat>
          <c:val>
            <c:numRef>
              <c:f>'Figure 5 - cross-domain'!$E$16:$E$22</c:f>
              <c:numCache>
                <c:formatCode>General</c:formatCode>
                <c:ptCount val="7"/>
                <c:pt idx="0">
                  <c:v>3</c:v>
                </c:pt>
                <c:pt idx="1">
                  <c:v>0</c:v>
                </c:pt>
                <c:pt idx="2">
                  <c:v>2</c:v>
                </c:pt>
                <c:pt idx="3">
                  <c:v>2</c:v>
                </c:pt>
                <c:pt idx="4">
                  <c:v>0</c:v>
                </c:pt>
                <c:pt idx="5">
                  <c:v>0</c:v>
                </c:pt>
                <c:pt idx="6">
                  <c:v>0</c:v>
                </c:pt>
              </c:numCache>
            </c:numRef>
          </c:val>
          <c:extLst>
            <c:ext xmlns:c16="http://schemas.microsoft.com/office/drawing/2014/chart" uri="{C3380CC4-5D6E-409C-BE32-E72D297353CC}">
              <c16:uniqueId val="{00000004-77A5-4F61-BFD4-59EA7F281B5F}"/>
            </c:ext>
          </c:extLst>
        </c:ser>
        <c:ser>
          <c:idx val="4"/>
          <c:order val="4"/>
          <c:tx>
            <c:strRef>
              <c:f>'Figure 5 - cross-domain'!$F$15</c:f>
              <c:strCache>
                <c:ptCount val="1"/>
                <c:pt idx="0">
                  <c:v>Not Reported</c:v>
                </c:pt>
              </c:strCache>
            </c:strRef>
          </c:tx>
          <c:spPr>
            <a:solidFill>
              <a:srgbClr val="BFBFBF"/>
            </a:solidFill>
          </c:spPr>
          <c:invertIfNegative val="0"/>
          <c:dLbls>
            <c:numFmt formatCode="#,##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'Figure 5 - cross-domain'!$A$16:$A$22</c:f>
              <c:strCache>
                <c:ptCount val="7"/>
                <c:pt idx="0">
                  <c:v>Force Plate + Markers</c:v>
                </c:pt>
                <c:pt idx="1">
                  <c:v>Other Combinations</c:v>
                </c:pt>
                <c:pt idx="2">
                  <c:v>Marker Only</c:v>
                </c:pt>
                <c:pt idx="3">
                  <c:v>IMU Only</c:v>
                </c:pt>
                <c:pt idx="4">
                  <c:v>IMU + Markers</c:v>
                </c:pt>
                <c:pt idx="5">
                  <c:v>IMU + Force Plates + Markers</c:v>
                </c:pt>
                <c:pt idx="6">
                  <c:v>Video / Webcam Only</c:v>
                </c:pt>
              </c:strCache>
            </c:strRef>
          </c:cat>
          <c:val>
            <c:numRef>
              <c:f>'Figure 5 - cross-domain'!$F$16:$F$22</c:f>
              <c:numCache>
                <c:formatCode>General</c:formatCode>
                <c:ptCount val="7"/>
                <c:pt idx="0">
                  <c:v>0</c:v>
                </c:pt>
                <c:pt idx="1">
                  <c:v>2</c:v>
                </c:pt>
                <c:pt idx="2">
                  <c:v>0</c:v>
                </c:pt>
                <c:pt idx="3">
                  <c:v>0</c:v>
                </c:pt>
                <c:pt idx="4">
                  <c:v>2</c:v>
                </c:pt>
                <c:pt idx="5">
                  <c:v>0</c:v>
                </c:pt>
                <c:pt idx="6">
                  <c:v>0</c:v>
                </c:pt>
              </c:numCache>
            </c:numRef>
          </c:val>
          <c:extLst>
            <c:ext xmlns:c16="http://schemas.microsoft.com/office/drawing/2014/chart" uri="{C3380CC4-5D6E-409C-BE32-E72D297353CC}">
              <c16:uniqueId val="{00000005-77A5-4F61-BFD4-59EA7F281B5F}"/>
            </c:ext>
          </c:extLst>
        </c:ser>
        <c:dLbls>
          <c:showLegendKey val="0"/>
          <c:showVal val="0"/>
          <c:showCatName val="0"/>
          <c:showSerName val="0"/>
          <c:showPercent val="0"/>
          <c:showBubbleSize val="0"/>
        </c:dLbls>
        <c:gapWidth val="150"/>
        <c:overlap val="100"/>
        <c:axId val="198838991"/>
        <c:axId val="198841391"/>
      </c:barChart>
      <c:catAx>
        <c:axId val="198838991"/>
        <c:scaling>
          <c:orientation val="maxMin"/>
        </c:scaling>
        <c:delete val="0"/>
        <c:axPos val="l"/>
        <c:numFmt formatCode="General" sourceLinked="1"/>
        <c:majorTickMark val="none"/>
        <c:minorTickMark val="none"/>
        <c:tickLblPos val="nextTo"/>
        <c:crossAx val="198841391"/>
        <c:crosses val="autoZero"/>
        <c:auto val="1"/>
        <c:lblAlgn val="ctr"/>
        <c:lblOffset val="100"/>
        <c:noMultiLvlLbl val="0"/>
      </c:catAx>
      <c:valAx>
        <c:axId val="198841391"/>
        <c:scaling>
          <c:orientation val="minMax"/>
        </c:scaling>
        <c:delete val="0"/>
        <c:axPos val="t"/>
        <c:numFmt formatCode="General" sourceLinked="1"/>
        <c:majorTickMark val="none"/>
        <c:minorTickMark val="none"/>
        <c:tickLblPos val="nextTo"/>
        <c:crossAx val="198838991"/>
        <c:crosses val="autoZero"/>
        <c:crossBetween val="between"/>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6350" cap="flat" cmpd="sng" algn="ctr">
      <a:noFill/>
      <a:prstDash val="solid"/>
      <a:round/>
    </a:ln>
    <a:effectLst/>
    <a:extLst>
      <a:ext uri="{91240B29-F687-4F45-9708-019B960494DF}">
        <a14:hiddenLine xmlns:a14="http://schemas.microsoft.com/office/drawing/2010/main" w="6350" cap="flat" cmpd="sng" algn="ctr">
          <a:solidFill>
            <a:srgbClr val="000000">
              <a:tint val="75000"/>
            </a:srgbClr>
          </a:solidFill>
          <a:prstDash val="solid"/>
          <a:round/>
        </a14:hiddenLine>
      </a:ext>
    </a:ex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3</xdr:col>
      <xdr:colOff>904875</xdr:colOff>
      <xdr:row>97</xdr:row>
      <xdr:rowOff>190500</xdr:rowOff>
    </xdr:from>
    <xdr:ext cx="5715000" cy="3533775"/>
    <xdr:graphicFrame macro="">
      <xdr:nvGraphicFramePr>
        <xdr:cNvPr id="1486875337" name="Chart 1" title="Chart">
          <a:extLst>
            <a:ext uri="{FF2B5EF4-FFF2-40B4-BE49-F238E27FC236}">
              <a16:creationId xmlns:a16="http://schemas.microsoft.com/office/drawing/2014/main" id="{00000000-0008-0000-0300-0000C9EA9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2076450</xdr:colOff>
      <xdr:row>3</xdr:row>
      <xdr:rowOff>0</xdr:rowOff>
    </xdr:from>
    <xdr:ext cx="5715000" cy="3533775"/>
    <xdr:graphicFrame macro="">
      <xdr:nvGraphicFramePr>
        <xdr:cNvPr id="1780869420" name="Chart 2" title="Chart">
          <a:extLst>
            <a:ext uri="{FF2B5EF4-FFF2-40B4-BE49-F238E27FC236}">
              <a16:creationId xmlns:a16="http://schemas.microsoft.com/office/drawing/2014/main" id="{00000000-0008-0000-0600-00002CE925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twoCellAnchor>
    <xdr:from>
      <xdr:col>4</xdr:col>
      <xdr:colOff>187325</xdr:colOff>
      <xdr:row>1</xdr:row>
      <xdr:rowOff>63500</xdr:rowOff>
    </xdr:from>
    <xdr:to>
      <xdr:col>17</xdr:col>
      <xdr:colOff>390525</xdr:colOff>
      <xdr:row>21</xdr:row>
      <xdr:rowOff>63500</xdr:rowOff>
    </xdr:to>
    <xdr:graphicFrame macro="">
      <xdr:nvGraphicFramePr>
        <xdr:cNvPr id="2" name="Chart 1">
          <a:extLst>
            <a:ext uri="{FF2B5EF4-FFF2-40B4-BE49-F238E27FC236}">
              <a16:creationId xmlns:a16="http://schemas.microsoft.com/office/drawing/2014/main" id="{8032E82C-8C84-2C46-1E07-FEE03A789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238125</xdr:colOff>
      <xdr:row>1</xdr:row>
      <xdr:rowOff>63500</xdr:rowOff>
    </xdr:from>
    <xdr:to>
      <xdr:col>18</xdr:col>
      <xdr:colOff>34925</xdr:colOff>
      <xdr:row>18</xdr:row>
      <xdr:rowOff>127000</xdr:rowOff>
    </xdr:to>
    <xdr:graphicFrame macro="">
      <xdr:nvGraphicFramePr>
        <xdr:cNvPr id="2" name="Chart 1">
          <a:extLst>
            <a:ext uri="{FF2B5EF4-FFF2-40B4-BE49-F238E27FC236}">
              <a16:creationId xmlns:a16="http://schemas.microsoft.com/office/drawing/2014/main" id="{03D79933-122A-98F8-86E3-80B5CB31D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238125</xdr:colOff>
      <xdr:row>20</xdr:row>
      <xdr:rowOff>0</xdr:rowOff>
    </xdr:from>
    <xdr:to>
      <xdr:col>18</xdr:col>
      <xdr:colOff>34925</xdr:colOff>
      <xdr:row>37</xdr:row>
      <xdr:rowOff>63500</xdr:rowOff>
    </xdr:to>
    <xdr:graphicFrame macro="">
      <xdr:nvGraphicFramePr>
        <xdr:cNvPr id="3" name="Chart 2">
          <a:extLst>
            <a:ext uri="{FF2B5EF4-FFF2-40B4-BE49-F238E27FC236}">
              <a16:creationId xmlns:a16="http://schemas.microsoft.com/office/drawing/2014/main" id="{E68F7C18-80A1-01D3-623E-BBF57855F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M40:O47">
  <tableColumns count="3">
    <tableColumn id="1" xr3:uid="{00000000-0010-0000-0000-000001000000}" name="Modality Category"/>
    <tableColumn id="2" xr3:uid="{00000000-0010-0000-0000-000002000000}" name="Count"/>
    <tableColumn id="3" xr3:uid="{00000000-0010-0000-0000-000003000000}" name="% of Total"/>
  </tableColumns>
  <tableStyleInfo name="Sensing Modality Categori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U6:V13">
  <tableColumns count="2">
    <tableColumn id="1" xr3:uid="{00000000-0010-0000-0100-000001000000}" name="Activity Category"/>
    <tableColumn id="2" xr3:uid="{00000000-0010-0000-0100-000002000000}" name="Mean N"/>
  </tableColumns>
  <tableStyleInfo name="Participant Demographic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038/s41597-025-04818-y" TargetMode="External"/><Relationship Id="rId21" Type="http://schemas.openxmlformats.org/officeDocument/2006/relationships/hyperlink" Target="https://doi.org/10.1038/s41597-023-02679-x" TargetMode="External"/><Relationship Id="rId42" Type="http://schemas.openxmlformats.org/officeDocument/2006/relationships/hyperlink" Target="https://doi.org/10.3390/s23208354" TargetMode="External"/><Relationship Id="rId47" Type="http://schemas.openxmlformats.org/officeDocument/2006/relationships/hyperlink" Target="https://github.com/ARLab-VT/VT-Natural-Motion-Processing" TargetMode="External"/><Relationship Id="rId63" Type="http://schemas.openxmlformats.org/officeDocument/2006/relationships/hyperlink" Target="https://doi.org/10.25452/figshare.plus.30294658" TargetMode="External"/><Relationship Id="rId68" Type="http://schemas.openxmlformats.org/officeDocument/2006/relationships/hyperlink" Target="https://doi.org/10.1038/s41597-025-06535-y" TargetMode="External"/><Relationship Id="rId16" Type="http://schemas.openxmlformats.org/officeDocument/2006/relationships/hyperlink" Target="https://doi.org/10.1038/s41597-022-01802-8" TargetMode="External"/><Relationship Id="rId11" Type="http://schemas.openxmlformats.org/officeDocument/2006/relationships/hyperlink" Target="https://doi.org/10.3758/s13428-024-02433-0" TargetMode="External"/><Relationship Id="rId24" Type="http://schemas.openxmlformats.org/officeDocument/2006/relationships/hyperlink" Target="https://doi.org/10.1038/s41597-024-04285-x" TargetMode="External"/><Relationship Id="rId32" Type="http://schemas.openxmlformats.org/officeDocument/2006/relationships/hyperlink" Target="https://doi.org/10.3390/bioengineering12080891" TargetMode="External"/><Relationship Id="rId37" Type="http://schemas.openxmlformats.org/officeDocument/2006/relationships/hyperlink" Target="https://zenodo.org/records/10559504" TargetMode="External"/><Relationship Id="rId40" Type="http://schemas.openxmlformats.org/officeDocument/2006/relationships/hyperlink" Target="https://doi.org/10.6084/m9.figshare.5616109.v5" TargetMode="External"/><Relationship Id="rId45" Type="http://schemas.openxmlformats.org/officeDocument/2006/relationships/hyperlink" Target="https://doi.org/10.1038/s41597-026-06687-5" TargetMode="External"/><Relationship Id="rId53" Type="http://schemas.openxmlformats.org/officeDocument/2006/relationships/hyperlink" Target="https://doi.org/10.1371/journal.pone.0290564" TargetMode="External"/><Relationship Id="rId58" Type="http://schemas.openxmlformats.org/officeDocument/2006/relationships/hyperlink" Target="https://doi.org/10.1038/s41598-021-97749-8" TargetMode="External"/><Relationship Id="rId66" Type="http://schemas.openxmlformats.org/officeDocument/2006/relationships/hyperlink" Target="https://doi.org/10.1016/j.gaitpost.2021.10.039" TargetMode="External"/><Relationship Id="rId74" Type="http://schemas.openxmlformats.org/officeDocument/2006/relationships/hyperlink" Target="https://doi.org/10.1038/s41597-022-01817-1" TargetMode="External"/><Relationship Id="rId79" Type="http://schemas.openxmlformats.org/officeDocument/2006/relationships/hyperlink" Target="https://doi.org/10.3390/s23208354" TargetMode="External"/><Relationship Id="rId5" Type="http://schemas.openxmlformats.org/officeDocument/2006/relationships/hyperlink" Target="https://doi.org/10.1016/j.jbiomech.2026.113149" TargetMode="External"/><Relationship Id="rId61" Type="http://schemas.openxmlformats.org/officeDocument/2006/relationships/hyperlink" Target="https://arxiv.org/abs/2407.13425" TargetMode="External"/><Relationship Id="rId19" Type="http://schemas.openxmlformats.org/officeDocument/2006/relationships/hyperlink" Target="https://doi.org/10.1038/s41597-023-02263-3" TargetMode="External"/><Relationship Id="rId14" Type="http://schemas.openxmlformats.org/officeDocument/2006/relationships/hyperlink" Target="https://doi.org/10.1038/s41597-020-00627-7" TargetMode="External"/><Relationship Id="rId22" Type="http://schemas.openxmlformats.org/officeDocument/2006/relationships/hyperlink" Target="https://doi.org/10.1038/s41597-023-02840-6" TargetMode="External"/><Relationship Id="rId27" Type="http://schemas.openxmlformats.org/officeDocument/2006/relationships/hyperlink" Target="https://doi.org/10.1038/s41597-025-05391-0" TargetMode="External"/><Relationship Id="rId30" Type="http://schemas.openxmlformats.org/officeDocument/2006/relationships/hyperlink" Target="https://doi.org/10.1038/s41597-025-06439-x" TargetMode="External"/><Relationship Id="rId35" Type="http://schemas.openxmlformats.org/officeDocument/2006/relationships/hyperlink" Target="https://doi.org/10.3389/frobt.2019.00094" TargetMode="External"/><Relationship Id="rId43" Type="http://schemas.openxmlformats.org/officeDocument/2006/relationships/hyperlink" Target="https://doi.org/10.3390/s23208354" TargetMode="External"/><Relationship Id="rId48" Type="http://schemas.openxmlformats.org/officeDocument/2006/relationships/hyperlink" Target="https://doi.org/10.5281/zenodo.12818935" TargetMode="External"/><Relationship Id="rId56" Type="http://schemas.openxmlformats.org/officeDocument/2006/relationships/hyperlink" Target="https://data.mendeley.com/datasets/xgw6bg3g8h/1" TargetMode="External"/><Relationship Id="rId64" Type="http://schemas.openxmlformats.org/officeDocument/2006/relationships/hyperlink" Target="https://doi.org/10.1038/s41597-025-04695-5" TargetMode="External"/><Relationship Id="rId69" Type="http://schemas.openxmlformats.org/officeDocument/2006/relationships/hyperlink" Target="https://doi.org/10.5281/zenodo.1040453" TargetMode="External"/><Relationship Id="rId77" Type="http://schemas.openxmlformats.org/officeDocument/2006/relationships/hyperlink" Target="https://doi.org/10.3389/fbioe.2021.769117" TargetMode="External"/><Relationship Id="rId8" Type="http://schemas.openxmlformats.org/officeDocument/2006/relationships/hyperlink" Target="https://doi.org/10.1016/j.jor.2025.12.024" TargetMode="External"/><Relationship Id="rId51" Type="http://schemas.openxmlformats.org/officeDocument/2006/relationships/hyperlink" Target="https://doi.org/10.1038/s41597-023-01932-7" TargetMode="External"/><Relationship Id="rId72" Type="http://schemas.openxmlformats.org/officeDocument/2006/relationships/hyperlink" Target="https://doi.org/10.1038/s41597-021-00881-3" TargetMode="External"/><Relationship Id="rId80" Type="http://schemas.openxmlformats.org/officeDocument/2006/relationships/hyperlink" Target="https://doi.org/10.5281/zenodo.8034000" TargetMode="External"/><Relationship Id="rId3" Type="http://schemas.openxmlformats.org/officeDocument/2006/relationships/hyperlink" Target="https://doi.org/10.1016/j.jbiomech.2023.111884" TargetMode="External"/><Relationship Id="rId12" Type="http://schemas.openxmlformats.org/officeDocument/2006/relationships/hyperlink" Target="https://doi.org/10.1038/s41597-019-0124-4" TargetMode="External"/><Relationship Id="rId17" Type="http://schemas.openxmlformats.org/officeDocument/2006/relationships/hyperlink" Target="https://doi.org/10.1038/s41597-023-01932-7" TargetMode="External"/><Relationship Id="rId25" Type="http://schemas.openxmlformats.org/officeDocument/2006/relationships/hyperlink" Target="https://doi.org/10.1038/s41597-025-04695-5" TargetMode="External"/><Relationship Id="rId33" Type="http://schemas.openxmlformats.org/officeDocument/2006/relationships/hyperlink" Target="https://github.com/abs711/The-way-of-the-future" TargetMode="External"/><Relationship Id="rId38" Type="http://schemas.openxmlformats.org/officeDocument/2006/relationships/hyperlink" Target="https://data.mendeley.com/datasets/k5y9jkx87y/1" TargetMode="External"/><Relationship Id="rId46" Type="http://schemas.openxmlformats.org/officeDocument/2006/relationships/hyperlink" Target="https://doi.org/10.1038/s41597-025-04818-y" TargetMode="External"/><Relationship Id="rId59" Type="http://schemas.openxmlformats.org/officeDocument/2006/relationships/hyperlink" Target="https://doi.org/10.5281/zenodo.18503500" TargetMode="External"/><Relationship Id="rId67" Type="http://schemas.openxmlformats.org/officeDocument/2006/relationships/hyperlink" Target="https://doi.org/10.1038/s41597-025-05391-0" TargetMode="External"/><Relationship Id="rId20" Type="http://schemas.openxmlformats.org/officeDocument/2006/relationships/hyperlink" Target="https://doi.org/10.1038/s41597-023-02554-9" TargetMode="External"/><Relationship Id="rId41" Type="http://schemas.openxmlformats.org/officeDocument/2006/relationships/hyperlink" Target="https://doi.org/10.5061/dryad.v6wwpzgsj" TargetMode="External"/><Relationship Id="rId54" Type="http://schemas.openxmlformats.org/officeDocument/2006/relationships/hyperlink" Target="https://doi.org/10.5281/zenodo.15642257" TargetMode="External"/><Relationship Id="rId62" Type="http://schemas.openxmlformats.org/officeDocument/2006/relationships/hyperlink" Target="https://doi.org/10.1371/journal.pone.0247364" TargetMode="External"/><Relationship Id="rId70" Type="http://schemas.openxmlformats.org/officeDocument/2006/relationships/hyperlink" Target="https://doi.org/10.1038/s41597-020-00627-7" TargetMode="External"/><Relationship Id="rId75" Type="http://schemas.openxmlformats.org/officeDocument/2006/relationships/hyperlink" Target="https://doi.org/10.3389/frobt.2019.00094" TargetMode="External"/><Relationship Id="rId1" Type="http://schemas.openxmlformats.org/officeDocument/2006/relationships/hyperlink" Target="https://doi.org/10.1016/j.apergo.2020.103138" TargetMode="External"/><Relationship Id="rId6" Type="http://schemas.openxmlformats.org/officeDocument/2006/relationships/hyperlink" Target="https://doi.org/10.1016/j.jbiomech.2026.113238" TargetMode="External"/><Relationship Id="rId15" Type="http://schemas.openxmlformats.org/officeDocument/2006/relationships/hyperlink" Target="https://doi.org/10.1038/s41597-021-01057-9" TargetMode="External"/><Relationship Id="rId23" Type="http://schemas.openxmlformats.org/officeDocument/2006/relationships/hyperlink" Target="https://doi.org/10.1038/s41597-024-04166-3" TargetMode="External"/><Relationship Id="rId28" Type="http://schemas.openxmlformats.org/officeDocument/2006/relationships/hyperlink" Target="https://doi.org/10.1038/s41597-025-05642-0" TargetMode="External"/><Relationship Id="rId36" Type="http://schemas.openxmlformats.org/officeDocument/2006/relationships/hyperlink" Target="https://data.mendeley.com/datasets/xgw6bg3g8h/1" TargetMode="External"/><Relationship Id="rId49" Type="http://schemas.openxmlformats.org/officeDocument/2006/relationships/hyperlink" Target="https://doi.org/10.21954/ou.rd.c.6607120" TargetMode="External"/><Relationship Id="rId57" Type="http://schemas.openxmlformats.org/officeDocument/2006/relationships/hyperlink" Target="https://doi.org/10.1038/s41597-019-0124-4" TargetMode="External"/><Relationship Id="rId10" Type="http://schemas.openxmlformats.org/officeDocument/2006/relationships/hyperlink" Target="https://doi.org/10.1007/s11517-025-03466-z" TargetMode="External"/><Relationship Id="rId31" Type="http://schemas.openxmlformats.org/officeDocument/2006/relationships/hyperlink" Target="https://doi.org/10.1038/s41597-026-06925-w" TargetMode="External"/><Relationship Id="rId44" Type="http://schemas.openxmlformats.org/officeDocument/2006/relationships/hyperlink" Target="https://k2muse.github.io/" TargetMode="External"/><Relationship Id="rId52" Type="http://schemas.openxmlformats.org/officeDocument/2006/relationships/hyperlink" Target="https://doi.org/10.1038/s41597-022-01638-2" TargetMode="External"/><Relationship Id="rId60" Type="http://schemas.openxmlformats.org/officeDocument/2006/relationships/hyperlink" Target="https://doi.org/10.1038/s41597-025-04433-x" TargetMode="External"/><Relationship Id="rId65" Type="http://schemas.openxmlformats.org/officeDocument/2006/relationships/hyperlink" Target="https://doi.org/10.3390/data7100136" TargetMode="External"/><Relationship Id="rId73" Type="http://schemas.openxmlformats.org/officeDocument/2006/relationships/hyperlink" Target="https://doi.org/10.1371/journal.pone.0249577" TargetMode="External"/><Relationship Id="rId78" Type="http://schemas.openxmlformats.org/officeDocument/2006/relationships/hyperlink" Target="https://doi.org/10.3389/fbioe.2025.1653751" TargetMode="External"/><Relationship Id="rId4" Type="http://schemas.openxmlformats.org/officeDocument/2006/relationships/hyperlink" Target="https://doi.org/10.1016/j.jbiomech.2025.112986" TargetMode="External"/><Relationship Id="rId9" Type="http://schemas.openxmlformats.org/officeDocument/2006/relationships/hyperlink" Target="https://doi.org/10.1016/j.heliyon.2024.e32042" TargetMode="External"/><Relationship Id="rId13" Type="http://schemas.openxmlformats.org/officeDocument/2006/relationships/hyperlink" Target="https://doi.org/10.1038/s41597-020-0494-7" TargetMode="External"/><Relationship Id="rId18" Type="http://schemas.openxmlformats.org/officeDocument/2006/relationships/hyperlink" Target="https://doi.org/10.1038/s41597-023-02077-3" TargetMode="External"/><Relationship Id="rId39" Type="http://schemas.openxmlformats.org/officeDocument/2006/relationships/hyperlink" Target="https://doi.org/10.1038/s41597-026-06687-5" TargetMode="External"/><Relationship Id="rId34" Type="http://schemas.openxmlformats.org/officeDocument/2006/relationships/hyperlink" Target="https://doi.org/10.3389/fnins.2023.992585" TargetMode="External"/><Relationship Id="rId50" Type="http://schemas.openxmlformats.org/officeDocument/2006/relationships/hyperlink" Target="https://doi.org/10.1109/TMRB.2024.3381339" TargetMode="External"/><Relationship Id="rId55" Type="http://schemas.openxmlformats.org/officeDocument/2006/relationships/hyperlink" Target="https://doi.org/10.3389/fnins.2023.992585" TargetMode="External"/><Relationship Id="rId76" Type="http://schemas.openxmlformats.org/officeDocument/2006/relationships/hyperlink" Target="https://doi.org/10.3389/fbioe.2025.1655295" TargetMode="External"/><Relationship Id="rId7" Type="http://schemas.openxmlformats.org/officeDocument/2006/relationships/hyperlink" Target="https://doi.org/10.1016/j.gaitpost.2021.10.039" TargetMode="External"/><Relationship Id="rId71" Type="http://schemas.openxmlformats.org/officeDocument/2006/relationships/hyperlink" Target="https://doi.org/10.1038/s41597-024-04011-7" TargetMode="External"/><Relationship Id="rId2" Type="http://schemas.openxmlformats.org/officeDocument/2006/relationships/hyperlink" Target="https://doi.org/10.1016/j.jbiomech.2017.02.004" TargetMode="External"/><Relationship Id="rId29" Type="http://schemas.openxmlformats.org/officeDocument/2006/relationships/hyperlink" Target="https://doi.org/10.1038/s41597-025-05934-5"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5281/zenodo.15535461" TargetMode="External"/><Relationship Id="rId3" Type="http://schemas.openxmlformats.org/officeDocument/2006/relationships/hyperlink" Target="https://doi.org/10.1016/j.jbiomech.2023.111703" TargetMode="External"/><Relationship Id="rId7" Type="http://schemas.openxmlformats.org/officeDocument/2006/relationships/hyperlink" Target="https://doi.org/10.5281/zenodo.7253458" TargetMode="External"/><Relationship Id="rId2" Type="http://schemas.openxmlformats.org/officeDocument/2006/relationships/hyperlink" Target="https://doi.org/10.5281/zenodo.15778950" TargetMode="External"/><Relationship Id="rId1" Type="http://schemas.openxmlformats.org/officeDocument/2006/relationships/hyperlink" Target="https://doi.org/10.5281/zenodo.15778950" TargetMode="External"/><Relationship Id="rId6" Type="http://schemas.openxmlformats.org/officeDocument/2006/relationships/hyperlink" Target="https://doi.org/10.5061/dryad.v6wwpzgsj" TargetMode="External"/><Relationship Id="rId5" Type="http://schemas.openxmlformats.org/officeDocument/2006/relationships/hyperlink" Target="https://doi.org/10.5281/zenodo.15642257" TargetMode="External"/><Relationship Id="rId10" Type="http://schemas.openxmlformats.org/officeDocument/2006/relationships/hyperlink" Target="https://doi.org/10.5281/zenodo.17191997" TargetMode="External"/><Relationship Id="rId4" Type="http://schemas.openxmlformats.org/officeDocument/2006/relationships/hyperlink" Target="https://doi.org/10.5281/zenodo.12818935" TargetMode="External"/><Relationship Id="rId9" Type="http://schemas.openxmlformats.org/officeDocument/2006/relationships/hyperlink" Target="https://doi.org/10.1101/2026.04.22.718747"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C1" workbookViewId="0">
      <pane ySplit="1" topLeftCell="A80" activePane="bottomLeft" state="frozen"/>
      <selection pane="bottomLeft" activeCell="B3" sqref="B3"/>
    </sheetView>
  </sheetViews>
  <sheetFormatPr defaultColWidth="14.42578125" defaultRowHeight="15" customHeight="1"/>
  <cols>
    <col min="1" max="1" width="8.28515625" customWidth="1"/>
    <col min="2" max="2" width="13" customWidth="1"/>
    <col min="3" max="3" width="10" customWidth="1"/>
    <col min="4" max="4" width="40.42578125" customWidth="1"/>
    <col min="5" max="5" width="55" customWidth="1"/>
    <col min="6" max="6" width="28" customWidth="1"/>
    <col min="7" max="7" width="22" customWidth="1"/>
    <col min="8" max="8" width="7" customWidth="1"/>
    <col min="9" max="9" width="28" customWidth="1"/>
    <col min="10" max="10" width="36" customWidth="1"/>
    <col min="11" max="11" width="21.42578125" customWidth="1"/>
    <col min="12" max="12" width="22" customWidth="1"/>
    <col min="13" max="13" width="10" customWidth="1"/>
    <col min="14" max="14" width="17" customWidth="1"/>
    <col min="15" max="15" width="36" customWidth="1"/>
    <col min="16" max="16" width="42" customWidth="1"/>
    <col min="17" max="17" width="15" customWidth="1"/>
    <col min="18" max="18" width="58" customWidth="1"/>
    <col min="19" max="26" width="8.7109375" customWidth="1"/>
  </cols>
  <sheetData>
    <row r="1" spans="1:26" ht="3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3"/>
      <c r="T1" s="3"/>
      <c r="U1" s="3"/>
      <c r="V1" s="3"/>
      <c r="W1" s="3"/>
      <c r="X1" s="3"/>
      <c r="Y1" s="3"/>
      <c r="Z1" s="3"/>
    </row>
    <row r="2" spans="1:26" ht="27.75" customHeight="1">
      <c r="A2" s="4">
        <v>1</v>
      </c>
      <c r="B2" s="5" t="s">
        <v>18</v>
      </c>
      <c r="C2" s="4">
        <v>1</v>
      </c>
      <c r="D2" s="6" t="s">
        <v>19</v>
      </c>
      <c r="E2" s="7" t="s">
        <v>20</v>
      </c>
      <c r="F2" s="7" t="s">
        <v>21</v>
      </c>
      <c r="G2" s="7" t="s">
        <v>22</v>
      </c>
      <c r="H2" s="7">
        <v>2020</v>
      </c>
      <c r="I2" s="7" t="s">
        <v>23</v>
      </c>
      <c r="J2" s="7" t="s">
        <v>24</v>
      </c>
      <c r="K2" s="7" t="s">
        <v>25</v>
      </c>
      <c r="L2" s="7" t="s">
        <v>26</v>
      </c>
      <c r="M2" s="7" t="s">
        <v>27</v>
      </c>
      <c r="N2" s="7" t="s">
        <v>28</v>
      </c>
      <c r="O2" s="8" t="s">
        <v>29</v>
      </c>
      <c r="P2" s="7" t="s">
        <v>30</v>
      </c>
      <c r="Q2" s="9" t="s">
        <v>31</v>
      </c>
      <c r="R2" s="10" t="s">
        <v>29</v>
      </c>
      <c r="S2" s="3"/>
      <c r="T2" s="3"/>
      <c r="U2" s="3"/>
      <c r="V2" s="3"/>
      <c r="W2" s="3"/>
      <c r="X2" s="3"/>
      <c r="Y2" s="3"/>
      <c r="Z2" s="3"/>
    </row>
    <row r="3" spans="1:26" ht="42" customHeight="1">
      <c r="A3" s="11">
        <v>2</v>
      </c>
      <c r="B3" s="5" t="s">
        <v>18</v>
      </c>
      <c r="C3" s="11">
        <v>2</v>
      </c>
      <c r="D3" s="12" t="s">
        <v>32</v>
      </c>
      <c r="E3" s="13" t="s">
        <v>33</v>
      </c>
      <c r="F3" s="13" t="s">
        <v>34</v>
      </c>
      <c r="G3" s="13" t="s">
        <v>35</v>
      </c>
      <c r="H3" s="13">
        <v>2017</v>
      </c>
      <c r="I3" s="13" t="s">
        <v>36</v>
      </c>
      <c r="J3" s="13" t="s">
        <v>37</v>
      </c>
      <c r="K3" s="13" t="s">
        <v>28</v>
      </c>
      <c r="L3" s="13" t="s">
        <v>38</v>
      </c>
      <c r="M3" s="13" t="s">
        <v>28</v>
      </c>
      <c r="N3" s="13" t="s">
        <v>28</v>
      </c>
      <c r="O3" s="14" t="s">
        <v>39</v>
      </c>
      <c r="P3" s="13" t="s">
        <v>40</v>
      </c>
      <c r="Q3" s="9" t="s">
        <v>31</v>
      </c>
      <c r="R3" s="10" t="s">
        <v>39</v>
      </c>
      <c r="S3" s="3"/>
      <c r="T3" s="3"/>
      <c r="U3" s="3"/>
      <c r="V3" s="3"/>
      <c r="W3" s="3"/>
      <c r="X3" s="3"/>
      <c r="Y3" s="3"/>
      <c r="Z3" s="3"/>
    </row>
    <row r="4" spans="1:26" ht="42" customHeight="1">
      <c r="A4" s="4">
        <v>3</v>
      </c>
      <c r="B4" s="5" t="s">
        <v>18</v>
      </c>
      <c r="C4" s="4">
        <v>3</v>
      </c>
      <c r="D4" s="6" t="s">
        <v>41</v>
      </c>
      <c r="E4" s="7" t="s">
        <v>42</v>
      </c>
      <c r="F4" s="7" t="s">
        <v>43</v>
      </c>
      <c r="G4" s="7" t="s">
        <v>35</v>
      </c>
      <c r="H4" s="7">
        <v>2024</v>
      </c>
      <c r="I4" s="7" t="s">
        <v>44</v>
      </c>
      <c r="J4" s="7" t="s">
        <v>45</v>
      </c>
      <c r="K4" s="7" t="s">
        <v>46</v>
      </c>
      <c r="L4" s="7" t="s">
        <v>38</v>
      </c>
      <c r="M4" s="7" t="s">
        <v>28</v>
      </c>
      <c r="N4" s="7" t="s">
        <v>47</v>
      </c>
      <c r="O4" s="8" t="s">
        <v>48</v>
      </c>
      <c r="P4" s="7" t="s">
        <v>49</v>
      </c>
      <c r="Q4" s="9" t="s">
        <v>31</v>
      </c>
      <c r="R4" s="10" t="s">
        <v>48</v>
      </c>
      <c r="S4" s="3"/>
      <c r="T4" s="3"/>
      <c r="U4" s="3"/>
      <c r="V4" s="3"/>
      <c r="W4" s="3"/>
      <c r="X4" s="3"/>
      <c r="Y4" s="3"/>
      <c r="Z4" s="3"/>
    </row>
    <row r="5" spans="1:26" ht="69.75" customHeight="1">
      <c r="A5" s="11">
        <v>4</v>
      </c>
      <c r="B5" s="5" t="s">
        <v>18</v>
      </c>
      <c r="C5" s="11">
        <v>4</v>
      </c>
      <c r="D5" s="12" t="s">
        <v>50</v>
      </c>
      <c r="E5" s="13" t="s">
        <v>51</v>
      </c>
      <c r="F5" s="13" t="s">
        <v>52</v>
      </c>
      <c r="G5" s="13" t="s">
        <v>35</v>
      </c>
      <c r="H5" s="13">
        <v>2025</v>
      </c>
      <c r="I5" s="13" t="s">
        <v>53</v>
      </c>
      <c r="J5" s="13" t="s">
        <v>54</v>
      </c>
      <c r="K5" s="13" t="s">
        <v>55</v>
      </c>
      <c r="L5" s="13" t="s">
        <v>38</v>
      </c>
      <c r="M5" s="13" t="s">
        <v>28</v>
      </c>
      <c r="N5" s="13" t="s">
        <v>28</v>
      </c>
      <c r="O5" s="14" t="s">
        <v>56</v>
      </c>
      <c r="P5" s="13" t="s">
        <v>57</v>
      </c>
      <c r="Q5" s="9" t="s">
        <v>31</v>
      </c>
      <c r="R5" s="10" t="s">
        <v>56</v>
      </c>
      <c r="S5" s="3"/>
      <c r="T5" s="3"/>
      <c r="U5" s="3"/>
      <c r="V5" s="3"/>
      <c r="W5" s="3"/>
      <c r="X5" s="3"/>
      <c r="Y5" s="3"/>
      <c r="Z5" s="3"/>
    </row>
    <row r="6" spans="1:26" ht="55.5" customHeight="1">
      <c r="A6" s="4">
        <v>5</v>
      </c>
      <c r="B6" s="5" t="s">
        <v>18</v>
      </c>
      <c r="C6" s="4">
        <v>5</v>
      </c>
      <c r="D6" s="6" t="s">
        <v>58</v>
      </c>
      <c r="E6" s="7" t="s">
        <v>59</v>
      </c>
      <c r="F6" s="7" t="s">
        <v>60</v>
      </c>
      <c r="G6" s="7" t="s">
        <v>35</v>
      </c>
      <c r="H6" s="7">
        <v>2026</v>
      </c>
      <c r="I6" s="7" t="s">
        <v>61</v>
      </c>
      <c r="J6" s="7" t="s">
        <v>62</v>
      </c>
      <c r="K6" s="7" t="s">
        <v>63</v>
      </c>
      <c r="L6" s="7" t="s">
        <v>38</v>
      </c>
      <c r="M6" s="7" t="s">
        <v>28</v>
      </c>
      <c r="N6" s="7" t="s">
        <v>64</v>
      </c>
      <c r="O6" s="8" t="s">
        <v>65</v>
      </c>
      <c r="P6" s="7" t="s">
        <v>66</v>
      </c>
      <c r="Q6" s="9" t="s">
        <v>31</v>
      </c>
      <c r="R6" s="10" t="s">
        <v>65</v>
      </c>
      <c r="S6" s="3"/>
      <c r="T6" s="3"/>
      <c r="U6" s="3"/>
      <c r="V6" s="3"/>
      <c r="W6" s="3"/>
      <c r="X6" s="3"/>
      <c r="Y6" s="3"/>
      <c r="Z6" s="3"/>
    </row>
    <row r="7" spans="1:26" ht="42" customHeight="1">
      <c r="A7" s="11">
        <v>6</v>
      </c>
      <c r="B7" s="5" t="s">
        <v>18</v>
      </c>
      <c r="C7" s="11">
        <v>6</v>
      </c>
      <c r="D7" s="12" t="s">
        <v>67</v>
      </c>
      <c r="E7" s="13" t="s">
        <v>68</v>
      </c>
      <c r="F7" s="13" t="s">
        <v>69</v>
      </c>
      <c r="G7" s="13" t="s">
        <v>35</v>
      </c>
      <c r="H7" s="13">
        <v>2026</v>
      </c>
      <c r="I7" s="13" t="s">
        <v>70</v>
      </c>
      <c r="J7" s="13" t="s">
        <v>71</v>
      </c>
      <c r="K7" s="13" t="s">
        <v>72</v>
      </c>
      <c r="L7" s="13" t="s">
        <v>73</v>
      </c>
      <c r="M7" s="13" t="s">
        <v>28</v>
      </c>
      <c r="N7" s="13" t="s">
        <v>74</v>
      </c>
      <c r="O7" s="14" t="s">
        <v>75</v>
      </c>
      <c r="P7" s="13" t="s">
        <v>76</v>
      </c>
      <c r="Q7" s="9" t="s">
        <v>31</v>
      </c>
      <c r="R7" s="10" t="s">
        <v>75</v>
      </c>
      <c r="S7" s="3"/>
      <c r="T7" s="3"/>
      <c r="U7" s="3"/>
      <c r="V7" s="3"/>
      <c r="W7" s="3"/>
      <c r="X7" s="3"/>
      <c r="Y7" s="3"/>
      <c r="Z7" s="3"/>
    </row>
    <row r="8" spans="1:26" ht="69.75" customHeight="1">
      <c r="A8" s="4">
        <v>7</v>
      </c>
      <c r="B8" s="5" t="s">
        <v>18</v>
      </c>
      <c r="C8" s="4">
        <v>8</v>
      </c>
      <c r="D8" s="6" t="s">
        <v>77</v>
      </c>
      <c r="E8" s="7" t="s">
        <v>78</v>
      </c>
      <c r="F8" s="7" t="s">
        <v>79</v>
      </c>
      <c r="G8" s="7" t="s">
        <v>80</v>
      </c>
      <c r="H8" s="7">
        <v>2022</v>
      </c>
      <c r="I8" s="7" t="s">
        <v>81</v>
      </c>
      <c r="J8" s="7" t="s">
        <v>82</v>
      </c>
      <c r="K8" s="7" t="s">
        <v>83</v>
      </c>
      <c r="L8" s="7" t="s">
        <v>84</v>
      </c>
      <c r="M8" s="7" t="s">
        <v>85</v>
      </c>
      <c r="N8" s="7" t="s">
        <v>28</v>
      </c>
      <c r="O8" s="8" t="s">
        <v>86</v>
      </c>
      <c r="P8" s="7" t="s">
        <v>87</v>
      </c>
      <c r="Q8" s="9" t="s">
        <v>31</v>
      </c>
      <c r="R8" s="10" t="s">
        <v>86</v>
      </c>
      <c r="S8" s="3"/>
      <c r="T8" s="3"/>
      <c r="U8" s="3"/>
      <c r="V8" s="3"/>
      <c r="W8" s="3"/>
      <c r="X8" s="3"/>
      <c r="Y8" s="3"/>
      <c r="Z8" s="3"/>
    </row>
    <row r="9" spans="1:26" ht="42" customHeight="1">
      <c r="A9" s="11">
        <v>8</v>
      </c>
      <c r="B9" s="5" t="s">
        <v>18</v>
      </c>
      <c r="C9" s="11">
        <v>10</v>
      </c>
      <c r="D9" s="12" t="s">
        <v>88</v>
      </c>
      <c r="E9" s="13" t="s">
        <v>89</v>
      </c>
      <c r="F9" s="13" t="s">
        <v>90</v>
      </c>
      <c r="G9" s="13" t="s">
        <v>91</v>
      </c>
      <c r="H9" s="13">
        <v>2026</v>
      </c>
      <c r="I9" s="13" t="s">
        <v>92</v>
      </c>
      <c r="J9" s="13" t="s">
        <v>93</v>
      </c>
      <c r="K9" s="13" t="s">
        <v>94</v>
      </c>
      <c r="L9" s="13" t="s">
        <v>38</v>
      </c>
      <c r="M9" s="13" t="s">
        <v>28</v>
      </c>
      <c r="N9" s="13" t="s">
        <v>28</v>
      </c>
      <c r="O9" s="14" t="s">
        <v>95</v>
      </c>
      <c r="P9" s="13" t="s">
        <v>96</v>
      </c>
      <c r="Q9" s="9" t="s">
        <v>31</v>
      </c>
      <c r="R9" s="10" t="s">
        <v>95</v>
      </c>
      <c r="S9" s="3"/>
      <c r="T9" s="3"/>
      <c r="U9" s="3"/>
      <c r="V9" s="3"/>
      <c r="W9" s="3"/>
      <c r="X9" s="3"/>
      <c r="Y9" s="3"/>
      <c r="Z9" s="3"/>
    </row>
    <row r="10" spans="1:26" ht="42" customHeight="1">
      <c r="A10" s="4">
        <v>9</v>
      </c>
      <c r="B10" s="5" t="s">
        <v>18</v>
      </c>
      <c r="C10" s="4">
        <v>12</v>
      </c>
      <c r="D10" s="6" t="s">
        <v>97</v>
      </c>
      <c r="E10" s="7" t="s">
        <v>98</v>
      </c>
      <c r="F10" s="7" t="s">
        <v>99</v>
      </c>
      <c r="G10" s="7" t="s">
        <v>100</v>
      </c>
      <c r="H10" s="7">
        <v>2024</v>
      </c>
      <c r="I10" s="7" t="s">
        <v>101</v>
      </c>
      <c r="J10" s="7" t="s">
        <v>102</v>
      </c>
      <c r="K10" s="7" t="s">
        <v>103</v>
      </c>
      <c r="L10" s="7" t="s">
        <v>38</v>
      </c>
      <c r="M10" s="7" t="s">
        <v>28</v>
      </c>
      <c r="N10" s="7" t="s">
        <v>104</v>
      </c>
      <c r="O10" s="8" t="s">
        <v>105</v>
      </c>
      <c r="P10" s="7" t="s">
        <v>106</v>
      </c>
      <c r="Q10" s="9" t="s">
        <v>31</v>
      </c>
      <c r="R10" s="10" t="s">
        <v>105</v>
      </c>
      <c r="S10" s="3"/>
      <c r="T10" s="3"/>
      <c r="U10" s="3"/>
      <c r="V10" s="3"/>
      <c r="W10" s="3"/>
      <c r="X10" s="3"/>
      <c r="Y10" s="3"/>
      <c r="Z10" s="3"/>
    </row>
    <row r="11" spans="1:26" ht="55.5" customHeight="1">
      <c r="A11" s="11">
        <v>10</v>
      </c>
      <c r="B11" s="5" t="s">
        <v>18</v>
      </c>
      <c r="C11" s="11">
        <v>13</v>
      </c>
      <c r="D11" s="12" t="s">
        <v>107</v>
      </c>
      <c r="E11" s="13" t="s">
        <v>108</v>
      </c>
      <c r="F11" s="13" t="s">
        <v>109</v>
      </c>
      <c r="G11" s="13" t="s">
        <v>110</v>
      </c>
      <c r="H11" s="13">
        <v>2025</v>
      </c>
      <c r="I11" s="13" t="s">
        <v>111</v>
      </c>
      <c r="J11" s="13" t="s">
        <v>112</v>
      </c>
      <c r="K11" s="13" t="s">
        <v>113</v>
      </c>
      <c r="L11" s="13" t="s">
        <v>114</v>
      </c>
      <c r="M11" s="13" t="s">
        <v>28</v>
      </c>
      <c r="N11" s="13" t="s">
        <v>115</v>
      </c>
      <c r="O11" s="14" t="s">
        <v>116</v>
      </c>
      <c r="P11" s="13" t="s">
        <v>117</v>
      </c>
      <c r="Q11" s="9" t="s">
        <v>31</v>
      </c>
      <c r="R11" s="10" t="s">
        <v>116</v>
      </c>
      <c r="S11" s="3"/>
      <c r="T11" s="3"/>
      <c r="U11" s="3"/>
      <c r="V11" s="3"/>
      <c r="W11" s="3"/>
      <c r="X11" s="3"/>
      <c r="Y11" s="3"/>
      <c r="Z11" s="3"/>
    </row>
    <row r="12" spans="1:26" ht="84" customHeight="1">
      <c r="A12" s="4">
        <v>11</v>
      </c>
      <c r="B12" s="5" t="s">
        <v>18</v>
      </c>
      <c r="C12" s="4">
        <v>16</v>
      </c>
      <c r="D12" s="6" t="s">
        <v>118</v>
      </c>
      <c r="E12" s="7" t="s">
        <v>119</v>
      </c>
      <c r="F12" s="7" t="s">
        <v>120</v>
      </c>
      <c r="G12" s="7" t="s">
        <v>121</v>
      </c>
      <c r="H12" s="7">
        <v>2024</v>
      </c>
      <c r="I12" s="7" t="s">
        <v>122</v>
      </c>
      <c r="J12" s="7" t="s">
        <v>123</v>
      </c>
      <c r="K12" s="7" t="s">
        <v>124</v>
      </c>
      <c r="L12" s="7" t="s">
        <v>125</v>
      </c>
      <c r="M12" s="7" t="s">
        <v>28</v>
      </c>
      <c r="N12" s="7" t="s">
        <v>126</v>
      </c>
      <c r="O12" s="8" t="s">
        <v>127</v>
      </c>
      <c r="P12" s="7" t="s">
        <v>128</v>
      </c>
      <c r="Q12" s="9" t="s">
        <v>31</v>
      </c>
      <c r="R12" s="10" t="s">
        <v>127</v>
      </c>
      <c r="S12" s="3"/>
      <c r="T12" s="3"/>
      <c r="U12" s="3"/>
      <c r="V12" s="3"/>
      <c r="W12" s="3"/>
      <c r="X12" s="3"/>
      <c r="Y12" s="3"/>
      <c r="Z12" s="3"/>
    </row>
    <row r="13" spans="1:26" ht="27.75" customHeight="1">
      <c r="A13" s="11">
        <v>12</v>
      </c>
      <c r="B13" s="5" t="s">
        <v>18</v>
      </c>
      <c r="C13" s="11">
        <v>17</v>
      </c>
      <c r="D13" s="12" t="s">
        <v>129</v>
      </c>
      <c r="E13" s="13" t="s">
        <v>130</v>
      </c>
      <c r="F13" s="13" t="s">
        <v>131</v>
      </c>
      <c r="G13" s="13" t="s">
        <v>132</v>
      </c>
      <c r="H13" s="13">
        <v>2019</v>
      </c>
      <c r="I13" s="13" t="s">
        <v>133</v>
      </c>
      <c r="J13" s="13" t="s">
        <v>134</v>
      </c>
      <c r="K13" s="13" t="s">
        <v>135</v>
      </c>
      <c r="L13" s="13" t="s">
        <v>38</v>
      </c>
      <c r="M13" s="13" t="s">
        <v>136</v>
      </c>
      <c r="N13" s="13" t="s">
        <v>28</v>
      </c>
      <c r="O13" s="14" t="s">
        <v>137</v>
      </c>
      <c r="P13" s="13" t="s">
        <v>138</v>
      </c>
      <c r="Q13" s="15" t="s">
        <v>139</v>
      </c>
      <c r="R13" s="16" t="s">
        <v>140</v>
      </c>
      <c r="S13" s="3"/>
      <c r="T13" s="3"/>
      <c r="U13" s="3"/>
      <c r="V13" s="3"/>
      <c r="W13" s="3"/>
      <c r="X13" s="3"/>
      <c r="Y13" s="3"/>
      <c r="Z13" s="3"/>
    </row>
    <row r="14" spans="1:26" ht="42" customHeight="1">
      <c r="A14" s="4">
        <v>13</v>
      </c>
      <c r="B14" s="5" t="s">
        <v>18</v>
      </c>
      <c r="C14" s="4">
        <v>18</v>
      </c>
      <c r="D14" s="6" t="s">
        <v>141</v>
      </c>
      <c r="E14" s="7" t="s">
        <v>142</v>
      </c>
      <c r="F14" s="7" t="s">
        <v>143</v>
      </c>
      <c r="G14" s="7" t="s">
        <v>132</v>
      </c>
      <c r="H14" s="7">
        <v>2020</v>
      </c>
      <c r="I14" s="7" t="s">
        <v>144</v>
      </c>
      <c r="J14" s="7" t="s">
        <v>145</v>
      </c>
      <c r="K14" s="7" t="s">
        <v>146</v>
      </c>
      <c r="L14" s="7" t="s">
        <v>147</v>
      </c>
      <c r="M14" s="7" t="s">
        <v>28</v>
      </c>
      <c r="N14" s="7" t="s">
        <v>28</v>
      </c>
      <c r="O14" s="8" t="s">
        <v>148</v>
      </c>
      <c r="P14" s="7" t="s">
        <v>149</v>
      </c>
      <c r="Q14" s="15" t="s">
        <v>139</v>
      </c>
      <c r="R14" s="16" t="s">
        <v>150</v>
      </c>
      <c r="S14" s="3"/>
      <c r="T14" s="3"/>
      <c r="U14" s="3"/>
      <c r="V14" s="3"/>
      <c r="W14" s="3"/>
      <c r="X14" s="3"/>
      <c r="Y14" s="3"/>
      <c r="Z14" s="3"/>
    </row>
    <row r="15" spans="1:26" ht="97.5" customHeight="1">
      <c r="A15" s="11">
        <v>14</v>
      </c>
      <c r="B15" s="5" t="s">
        <v>18</v>
      </c>
      <c r="C15" s="11">
        <v>19</v>
      </c>
      <c r="D15" s="12" t="s">
        <v>151</v>
      </c>
      <c r="E15" s="13" t="s">
        <v>152</v>
      </c>
      <c r="F15" s="13" t="s">
        <v>153</v>
      </c>
      <c r="G15" s="13" t="s">
        <v>132</v>
      </c>
      <c r="H15" s="13">
        <v>2020</v>
      </c>
      <c r="I15" s="13" t="s">
        <v>154</v>
      </c>
      <c r="J15" s="13" t="s">
        <v>155</v>
      </c>
      <c r="K15" s="13" t="s">
        <v>156</v>
      </c>
      <c r="L15" s="13" t="s">
        <v>38</v>
      </c>
      <c r="M15" s="13" t="s">
        <v>157</v>
      </c>
      <c r="N15" s="13" t="s">
        <v>158</v>
      </c>
      <c r="O15" s="14" t="s">
        <v>159</v>
      </c>
      <c r="P15" s="13" t="s">
        <v>160</v>
      </c>
      <c r="Q15" s="17" t="s">
        <v>161</v>
      </c>
      <c r="R15" s="16" t="s">
        <v>162</v>
      </c>
      <c r="S15" s="3"/>
      <c r="T15" s="3"/>
      <c r="U15" s="3"/>
      <c r="V15" s="3"/>
      <c r="W15" s="3"/>
      <c r="X15" s="3"/>
      <c r="Y15" s="3"/>
      <c r="Z15" s="3"/>
    </row>
    <row r="16" spans="1:26" ht="55.5" customHeight="1">
      <c r="A16" s="4">
        <v>15</v>
      </c>
      <c r="B16" s="5" t="s">
        <v>18</v>
      </c>
      <c r="C16" s="4">
        <v>20</v>
      </c>
      <c r="D16" s="6" t="s">
        <v>163</v>
      </c>
      <c r="E16" s="7" t="s">
        <v>164</v>
      </c>
      <c r="F16" s="7" t="s">
        <v>165</v>
      </c>
      <c r="G16" s="7" t="s">
        <v>132</v>
      </c>
      <c r="H16" s="7">
        <v>2021</v>
      </c>
      <c r="I16" s="7" t="s">
        <v>166</v>
      </c>
      <c r="J16" s="7" t="s">
        <v>167</v>
      </c>
      <c r="K16" s="7" t="s">
        <v>168</v>
      </c>
      <c r="L16" s="7" t="s">
        <v>38</v>
      </c>
      <c r="M16" s="7" t="s">
        <v>169</v>
      </c>
      <c r="N16" s="7" t="s">
        <v>28</v>
      </c>
      <c r="O16" s="8" t="s">
        <v>170</v>
      </c>
      <c r="P16" s="7" t="s">
        <v>171</v>
      </c>
      <c r="Q16" s="15" t="s">
        <v>139</v>
      </c>
      <c r="R16" s="16" t="s">
        <v>172</v>
      </c>
      <c r="S16" s="3"/>
      <c r="T16" s="3"/>
      <c r="U16" s="3"/>
      <c r="V16" s="3"/>
      <c r="W16" s="3"/>
      <c r="X16" s="3"/>
      <c r="Y16" s="3"/>
      <c r="Z16" s="3"/>
    </row>
    <row r="17" spans="1:26" ht="55.5" customHeight="1">
      <c r="A17" s="11">
        <v>16</v>
      </c>
      <c r="B17" s="5" t="s">
        <v>18</v>
      </c>
      <c r="C17" s="11">
        <v>21</v>
      </c>
      <c r="D17" s="12" t="s">
        <v>173</v>
      </c>
      <c r="E17" s="13" t="s">
        <v>174</v>
      </c>
      <c r="F17" s="13" t="s">
        <v>175</v>
      </c>
      <c r="G17" s="13" t="s">
        <v>132</v>
      </c>
      <c r="H17" s="13">
        <v>2022</v>
      </c>
      <c r="I17" s="13" t="s">
        <v>176</v>
      </c>
      <c r="J17" s="13" t="s">
        <v>177</v>
      </c>
      <c r="K17" s="13" t="s">
        <v>178</v>
      </c>
      <c r="L17" s="13" t="s">
        <v>38</v>
      </c>
      <c r="M17" s="13" t="s">
        <v>28</v>
      </c>
      <c r="N17" s="13" t="s">
        <v>179</v>
      </c>
      <c r="O17" s="14" t="s">
        <v>180</v>
      </c>
      <c r="P17" s="13" t="s">
        <v>181</v>
      </c>
      <c r="Q17" s="18" t="s">
        <v>182</v>
      </c>
      <c r="R17" s="16" t="s">
        <v>183</v>
      </c>
      <c r="S17" s="3"/>
      <c r="T17" s="3"/>
      <c r="U17" s="3"/>
      <c r="V17" s="3"/>
      <c r="W17" s="3"/>
      <c r="X17" s="3"/>
      <c r="Y17" s="3"/>
      <c r="Z17" s="3"/>
    </row>
    <row r="18" spans="1:26" ht="55.5" customHeight="1">
      <c r="A18" s="4">
        <v>17</v>
      </c>
      <c r="B18" s="5" t="s">
        <v>18</v>
      </c>
      <c r="C18" s="4">
        <v>22</v>
      </c>
      <c r="D18" s="6" t="s">
        <v>184</v>
      </c>
      <c r="E18" s="7" t="s">
        <v>185</v>
      </c>
      <c r="F18" s="7" t="s">
        <v>186</v>
      </c>
      <c r="G18" s="7" t="s">
        <v>132</v>
      </c>
      <c r="H18" s="7">
        <v>2023</v>
      </c>
      <c r="I18" s="7" t="s">
        <v>187</v>
      </c>
      <c r="J18" s="7" t="s">
        <v>188</v>
      </c>
      <c r="K18" s="7" t="s">
        <v>189</v>
      </c>
      <c r="L18" s="7" t="s">
        <v>190</v>
      </c>
      <c r="M18" s="7" t="s">
        <v>28</v>
      </c>
      <c r="N18" s="7" t="s">
        <v>191</v>
      </c>
      <c r="O18" s="8" t="s">
        <v>192</v>
      </c>
      <c r="P18" s="7" t="s">
        <v>193</v>
      </c>
      <c r="Q18" s="15" t="s">
        <v>139</v>
      </c>
      <c r="R18" s="16" t="s">
        <v>194</v>
      </c>
      <c r="S18" s="3"/>
      <c r="T18" s="3"/>
      <c r="U18" s="3"/>
      <c r="V18" s="3"/>
      <c r="W18" s="3"/>
      <c r="X18" s="3"/>
      <c r="Y18" s="3"/>
      <c r="Z18" s="3"/>
    </row>
    <row r="19" spans="1:26" ht="42" customHeight="1">
      <c r="A19" s="11">
        <v>18</v>
      </c>
      <c r="B19" s="5" t="s">
        <v>18</v>
      </c>
      <c r="C19" s="11">
        <v>23</v>
      </c>
      <c r="D19" s="12" t="s">
        <v>195</v>
      </c>
      <c r="E19" s="13" t="s">
        <v>196</v>
      </c>
      <c r="F19" s="13" t="s">
        <v>197</v>
      </c>
      <c r="G19" s="13" t="s">
        <v>132</v>
      </c>
      <c r="H19" s="13">
        <v>2023</v>
      </c>
      <c r="I19" s="13" t="s">
        <v>198</v>
      </c>
      <c r="J19" s="13" t="s">
        <v>199</v>
      </c>
      <c r="K19" s="13" t="s">
        <v>168</v>
      </c>
      <c r="L19" s="13" t="s">
        <v>38</v>
      </c>
      <c r="M19" s="13" t="s">
        <v>200</v>
      </c>
      <c r="N19" s="13" t="s">
        <v>28</v>
      </c>
      <c r="O19" s="14" t="s">
        <v>201</v>
      </c>
      <c r="P19" s="13" t="s">
        <v>202</v>
      </c>
      <c r="Q19" s="19" t="s">
        <v>203</v>
      </c>
      <c r="R19" s="16" t="s">
        <v>204</v>
      </c>
      <c r="S19" s="3"/>
      <c r="T19" s="3"/>
      <c r="U19" s="3"/>
      <c r="V19" s="3"/>
      <c r="W19" s="3"/>
      <c r="X19" s="3"/>
      <c r="Y19" s="3"/>
      <c r="Z19" s="3"/>
    </row>
    <row r="20" spans="1:26" ht="55.5" customHeight="1">
      <c r="A20" s="4">
        <v>19</v>
      </c>
      <c r="B20" s="5" t="s">
        <v>18</v>
      </c>
      <c r="C20" s="4">
        <v>24</v>
      </c>
      <c r="D20" s="6" t="s">
        <v>205</v>
      </c>
      <c r="E20" s="7" t="s">
        <v>206</v>
      </c>
      <c r="F20" s="7" t="s">
        <v>207</v>
      </c>
      <c r="G20" s="7" t="s">
        <v>132</v>
      </c>
      <c r="H20" s="7">
        <v>2023</v>
      </c>
      <c r="I20" s="7" t="s">
        <v>208</v>
      </c>
      <c r="J20" s="7" t="s">
        <v>209</v>
      </c>
      <c r="K20" s="7" t="s">
        <v>94</v>
      </c>
      <c r="L20" s="7" t="s">
        <v>38</v>
      </c>
      <c r="M20" s="7" t="s">
        <v>210</v>
      </c>
      <c r="N20" s="7" t="s">
        <v>211</v>
      </c>
      <c r="O20" s="8" t="s">
        <v>212</v>
      </c>
      <c r="P20" s="7" t="s">
        <v>213</v>
      </c>
      <c r="Q20" s="15" t="s">
        <v>139</v>
      </c>
      <c r="R20" s="16" t="s">
        <v>214</v>
      </c>
      <c r="S20" s="3"/>
      <c r="T20" s="3"/>
      <c r="U20" s="3"/>
      <c r="V20" s="3"/>
      <c r="W20" s="3"/>
      <c r="X20" s="3"/>
      <c r="Y20" s="3"/>
      <c r="Z20" s="3"/>
    </row>
    <row r="21" spans="1:26" ht="15.75" customHeight="1">
      <c r="A21" s="11">
        <v>20</v>
      </c>
      <c r="B21" s="5" t="s">
        <v>18</v>
      </c>
      <c r="C21" s="11">
        <v>25</v>
      </c>
      <c r="D21" s="12" t="s">
        <v>215</v>
      </c>
      <c r="E21" s="13" t="s">
        <v>216</v>
      </c>
      <c r="F21" s="13" t="s">
        <v>217</v>
      </c>
      <c r="G21" s="13" t="s">
        <v>132</v>
      </c>
      <c r="H21" s="13">
        <v>2023</v>
      </c>
      <c r="I21" s="13" t="s">
        <v>218</v>
      </c>
      <c r="J21" s="13" t="s">
        <v>219</v>
      </c>
      <c r="K21" s="13" t="s">
        <v>220</v>
      </c>
      <c r="L21" s="13" t="s">
        <v>38</v>
      </c>
      <c r="M21" s="13" t="s">
        <v>28</v>
      </c>
      <c r="N21" s="13" t="s">
        <v>221</v>
      </c>
      <c r="O21" s="14" t="s">
        <v>222</v>
      </c>
      <c r="P21" s="13" t="s">
        <v>223</v>
      </c>
      <c r="Q21" s="20" t="s">
        <v>224</v>
      </c>
      <c r="R21" s="16" t="s">
        <v>225</v>
      </c>
      <c r="S21" s="3"/>
      <c r="T21" s="3"/>
      <c r="U21" s="3"/>
      <c r="V21" s="3"/>
      <c r="W21" s="3"/>
      <c r="X21" s="3"/>
      <c r="Y21" s="3"/>
      <c r="Z21" s="3"/>
    </row>
    <row r="22" spans="1:26" ht="15.75" customHeight="1">
      <c r="A22" s="4">
        <v>21</v>
      </c>
      <c r="B22" s="5" t="s">
        <v>18</v>
      </c>
      <c r="C22" s="4">
        <v>26</v>
      </c>
      <c r="D22" s="6" t="s">
        <v>226</v>
      </c>
      <c r="E22" s="7" t="s">
        <v>227</v>
      </c>
      <c r="F22" s="7" t="s">
        <v>228</v>
      </c>
      <c r="G22" s="7" t="s">
        <v>132</v>
      </c>
      <c r="H22" s="7">
        <v>2023</v>
      </c>
      <c r="I22" s="7" t="s">
        <v>229</v>
      </c>
      <c r="J22" s="7" t="s">
        <v>230</v>
      </c>
      <c r="K22" s="7" t="s">
        <v>168</v>
      </c>
      <c r="L22" s="7" t="s">
        <v>38</v>
      </c>
      <c r="M22" s="7" t="s">
        <v>169</v>
      </c>
      <c r="N22" s="7" t="s">
        <v>231</v>
      </c>
      <c r="O22" s="8" t="s">
        <v>232</v>
      </c>
      <c r="P22" s="7" t="s">
        <v>233</v>
      </c>
      <c r="Q22" s="15" t="s">
        <v>139</v>
      </c>
      <c r="R22" s="16" t="s">
        <v>234</v>
      </c>
      <c r="S22" s="3"/>
      <c r="T22" s="3"/>
      <c r="U22" s="3"/>
      <c r="V22" s="3"/>
      <c r="W22" s="3"/>
      <c r="X22" s="3"/>
      <c r="Y22" s="3"/>
      <c r="Z22" s="3"/>
    </row>
    <row r="23" spans="1:26" ht="15.75" customHeight="1">
      <c r="A23" s="11">
        <v>22</v>
      </c>
      <c r="B23" s="5" t="s">
        <v>18</v>
      </c>
      <c r="C23" s="11">
        <v>27</v>
      </c>
      <c r="D23" s="12" t="s">
        <v>235</v>
      </c>
      <c r="E23" s="13" t="s">
        <v>236</v>
      </c>
      <c r="F23" s="13" t="s">
        <v>237</v>
      </c>
      <c r="G23" s="13" t="s">
        <v>132</v>
      </c>
      <c r="H23" s="13">
        <v>2023</v>
      </c>
      <c r="I23" s="13" t="s">
        <v>238</v>
      </c>
      <c r="J23" s="13" t="s">
        <v>239</v>
      </c>
      <c r="K23" s="13" t="s">
        <v>156</v>
      </c>
      <c r="L23" s="13" t="s">
        <v>38</v>
      </c>
      <c r="M23" s="13" t="s">
        <v>157</v>
      </c>
      <c r="N23" s="13" t="s">
        <v>240</v>
      </c>
      <c r="O23" s="14" t="s">
        <v>241</v>
      </c>
      <c r="P23" s="13" t="s">
        <v>242</v>
      </c>
      <c r="Q23" s="21" t="s">
        <v>243</v>
      </c>
      <c r="R23" s="16" t="s">
        <v>244</v>
      </c>
      <c r="S23" s="3"/>
      <c r="T23" s="3"/>
      <c r="U23" s="3"/>
      <c r="V23" s="3"/>
      <c r="W23" s="3"/>
      <c r="X23" s="3"/>
      <c r="Y23" s="3"/>
      <c r="Z23" s="3"/>
    </row>
    <row r="24" spans="1:26" ht="15.75" customHeight="1">
      <c r="A24" s="4">
        <v>23</v>
      </c>
      <c r="B24" s="5" t="s">
        <v>18</v>
      </c>
      <c r="C24" s="4">
        <v>28</v>
      </c>
      <c r="D24" s="6" t="s">
        <v>245</v>
      </c>
      <c r="E24" s="7" t="s">
        <v>246</v>
      </c>
      <c r="F24" s="7" t="s">
        <v>247</v>
      </c>
      <c r="G24" s="7" t="s">
        <v>132</v>
      </c>
      <c r="H24" s="7">
        <v>2024</v>
      </c>
      <c r="I24" s="7" t="s">
        <v>248</v>
      </c>
      <c r="J24" s="7" t="s">
        <v>249</v>
      </c>
      <c r="K24" s="7" t="s">
        <v>250</v>
      </c>
      <c r="L24" s="7" t="s">
        <v>38</v>
      </c>
      <c r="M24" s="7" t="s">
        <v>251</v>
      </c>
      <c r="N24" s="7" t="s">
        <v>252</v>
      </c>
      <c r="O24" s="8" t="s">
        <v>253</v>
      </c>
      <c r="P24" s="7" t="s">
        <v>254</v>
      </c>
      <c r="Q24" s="9" t="s">
        <v>31</v>
      </c>
      <c r="R24" s="10" t="s">
        <v>253</v>
      </c>
      <c r="S24" s="3"/>
      <c r="T24" s="3"/>
      <c r="U24" s="3"/>
      <c r="V24" s="3"/>
      <c r="W24" s="3"/>
      <c r="X24" s="3"/>
      <c r="Y24" s="3"/>
      <c r="Z24" s="3"/>
    </row>
    <row r="25" spans="1:26" ht="15.75" customHeight="1">
      <c r="A25" s="11">
        <v>24</v>
      </c>
      <c r="B25" s="5" t="s">
        <v>18</v>
      </c>
      <c r="C25" s="11">
        <v>29</v>
      </c>
      <c r="D25" s="12" t="s">
        <v>255</v>
      </c>
      <c r="E25" s="13" t="s">
        <v>256</v>
      </c>
      <c r="F25" s="13" t="s">
        <v>257</v>
      </c>
      <c r="G25" s="13" t="s">
        <v>132</v>
      </c>
      <c r="H25" s="13">
        <v>2024</v>
      </c>
      <c r="I25" s="13" t="s">
        <v>258</v>
      </c>
      <c r="J25" s="13" t="s">
        <v>259</v>
      </c>
      <c r="K25" s="13" t="s">
        <v>168</v>
      </c>
      <c r="L25" s="13" t="s">
        <v>38</v>
      </c>
      <c r="M25" s="13" t="s">
        <v>260</v>
      </c>
      <c r="N25" s="13" t="s">
        <v>261</v>
      </c>
      <c r="O25" s="14" t="s">
        <v>262</v>
      </c>
      <c r="P25" s="13" t="s">
        <v>263</v>
      </c>
      <c r="Q25" s="9" t="s">
        <v>31</v>
      </c>
      <c r="R25" s="10" t="s">
        <v>262</v>
      </c>
      <c r="S25" s="3"/>
      <c r="T25" s="3"/>
      <c r="U25" s="3"/>
      <c r="V25" s="3"/>
      <c r="W25" s="3"/>
      <c r="X25" s="3"/>
      <c r="Y25" s="3"/>
      <c r="Z25" s="3"/>
    </row>
    <row r="26" spans="1:26" ht="15.75" customHeight="1">
      <c r="A26" s="4">
        <v>25</v>
      </c>
      <c r="B26" s="5" t="s">
        <v>18</v>
      </c>
      <c r="C26" s="4">
        <v>30</v>
      </c>
      <c r="D26" s="6" t="s">
        <v>264</v>
      </c>
      <c r="E26" s="7" t="s">
        <v>265</v>
      </c>
      <c r="F26" s="7" t="s">
        <v>266</v>
      </c>
      <c r="G26" s="7" t="s">
        <v>132</v>
      </c>
      <c r="H26" s="7">
        <v>2025</v>
      </c>
      <c r="I26" s="7" t="s">
        <v>267</v>
      </c>
      <c r="J26" s="7" t="s">
        <v>268</v>
      </c>
      <c r="K26" s="7" t="s">
        <v>269</v>
      </c>
      <c r="L26" s="7" t="s">
        <v>147</v>
      </c>
      <c r="M26" s="7" t="s">
        <v>28</v>
      </c>
      <c r="N26" s="7" t="s">
        <v>270</v>
      </c>
      <c r="O26" s="8" t="s">
        <v>271</v>
      </c>
      <c r="P26" s="7" t="s">
        <v>272</v>
      </c>
      <c r="Q26" s="15" t="s">
        <v>139</v>
      </c>
      <c r="R26" s="16" t="s">
        <v>273</v>
      </c>
      <c r="S26" s="3"/>
      <c r="T26" s="3"/>
      <c r="U26" s="3"/>
      <c r="V26" s="3"/>
      <c r="W26" s="3"/>
      <c r="X26" s="3"/>
      <c r="Y26" s="3"/>
      <c r="Z26" s="3"/>
    </row>
    <row r="27" spans="1:26" ht="15.75" customHeight="1">
      <c r="A27" s="11">
        <v>26</v>
      </c>
      <c r="B27" s="5" t="s">
        <v>18</v>
      </c>
      <c r="C27" s="11">
        <v>31</v>
      </c>
      <c r="D27" s="12" t="s">
        <v>274</v>
      </c>
      <c r="E27" s="13" t="s">
        <v>275</v>
      </c>
      <c r="F27" s="13" t="s">
        <v>276</v>
      </c>
      <c r="G27" s="13" t="s">
        <v>132</v>
      </c>
      <c r="H27" s="13">
        <v>2025</v>
      </c>
      <c r="I27" s="13" t="s">
        <v>277</v>
      </c>
      <c r="J27" s="13" t="s">
        <v>278</v>
      </c>
      <c r="K27" s="13" t="s">
        <v>279</v>
      </c>
      <c r="L27" s="13" t="s">
        <v>280</v>
      </c>
      <c r="M27" s="13" t="s">
        <v>281</v>
      </c>
      <c r="N27" s="13" t="s">
        <v>282</v>
      </c>
      <c r="O27" s="14" t="s">
        <v>283</v>
      </c>
      <c r="P27" s="13" t="s">
        <v>284</v>
      </c>
      <c r="Q27" s="15" t="s">
        <v>139</v>
      </c>
      <c r="R27" s="16" t="s">
        <v>285</v>
      </c>
      <c r="S27" s="3"/>
      <c r="T27" s="3"/>
      <c r="U27" s="3"/>
      <c r="V27" s="3"/>
      <c r="W27" s="3"/>
      <c r="X27" s="3"/>
      <c r="Y27" s="3"/>
      <c r="Z27" s="3"/>
    </row>
    <row r="28" spans="1:26" ht="15.75" customHeight="1">
      <c r="A28" s="4">
        <v>27</v>
      </c>
      <c r="B28" s="5" t="s">
        <v>18</v>
      </c>
      <c r="C28" s="4">
        <v>32</v>
      </c>
      <c r="D28" s="6" t="s">
        <v>286</v>
      </c>
      <c r="E28" s="7" t="s">
        <v>287</v>
      </c>
      <c r="F28" s="7" t="s">
        <v>288</v>
      </c>
      <c r="G28" s="7" t="s">
        <v>132</v>
      </c>
      <c r="H28" s="7">
        <v>2025</v>
      </c>
      <c r="I28" s="7" t="s">
        <v>289</v>
      </c>
      <c r="J28" s="7" t="s">
        <v>290</v>
      </c>
      <c r="K28" s="7" t="s">
        <v>291</v>
      </c>
      <c r="L28" s="7" t="s">
        <v>292</v>
      </c>
      <c r="M28" s="7" t="s">
        <v>293</v>
      </c>
      <c r="N28" s="7" t="s">
        <v>294</v>
      </c>
      <c r="O28" s="8" t="s">
        <v>295</v>
      </c>
      <c r="P28" s="7" t="s">
        <v>296</v>
      </c>
      <c r="Q28" s="15" t="s">
        <v>139</v>
      </c>
      <c r="R28" s="16" t="s">
        <v>297</v>
      </c>
      <c r="S28" s="3"/>
      <c r="T28" s="3"/>
      <c r="U28" s="3"/>
      <c r="V28" s="3"/>
      <c r="W28" s="3"/>
      <c r="X28" s="3"/>
      <c r="Y28" s="3"/>
      <c r="Z28" s="3"/>
    </row>
    <row r="29" spans="1:26" ht="15.75" customHeight="1">
      <c r="A29" s="11">
        <v>28</v>
      </c>
      <c r="B29" s="5" t="s">
        <v>18</v>
      </c>
      <c r="C29" s="11">
        <v>33</v>
      </c>
      <c r="D29" s="12" t="s">
        <v>298</v>
      </c>
      <c r="E29" s="13" t="s">
        <v>299</v>
      </c>
      <c r="F29" s="13" t="s">
        <v>300</v>
      </c>
      <c r="G29" s="13" t="s">
        <v>132</v>
      </c>
      <c r="H29" s="13">
        <v>2025</v>
      </c>
      <c r="I29" s="13" t="s">
        <v>301</v>
      </c>
      <c r="J29" s="13" t="s">
        <v>302</v>
      </c>
      <c r="K29" s="13" t="s">
        <v>303</v>
      </c>
      <c r="L29" s="13" t="s">
        <v>84</v>
      </c>
      <c r="M29" s="13" t="s">
        <v>304</v>
      </c>
      <c r="N29" s="13" t="s">
        <v>305</v>
      </c>
      <c r="O29" s="14" t="s">
        <v>306</v>
      </c>
      <c r="P29" s="13" t="s">
        <v>307</v>
      </c>
      <c r="Q29" s="9" t="s">
        <v>31</v>
      </c>
      <c r="R29" s="10" t="s">
        <v>306</v>
      </c>
      <c r="S29" s="3"/>
      <c r="T29" s="3"/>
      <c r="U29" s="3"/>
      <c r="V29" s="3"/>
      <c r="W29" s="3"/>
      <c r="X29" s="3"/>
      <c r="Y29" s="3"/>
      <c r="Z29" s="3"/>
    </row>
    <row r="30" spans="1:26" ht="15.75" customHeight="1">
      <c r="A30" s="4">
        <v>29</v>
      </c>
      <c r="B30" s="5" t="s">
        <v>18</v>
      </c>
      <c r="C30" s="4">
        <v>34</v>
      </c>
      <c r="D30" s="6" t="s">
        <v>308</v>
      </c>
      <c r="E30" s="7" t="s">
        <v>309</v>
      </c>
      <c r="F30" s="7" t="s">
        <v>310</v>
      </c>
      <c r="G30" s="7" t="s">
        <v>132</v>
      </c>
      <c r="H30" s="7">
        <v>2025</v>
      </c>
      <c r="I30" s="7" t="s">
        <v>311</v>
      </c>
      <c r="J30" s="7" t="s">
        <v>312</v>
      </c>
      <c r="K30" s="7" t="s">
        <v>313</v>
      </c>
      <c r="L30" s="7" t="s">
        <v>314</v>
      </c>
      <c r="M30" s="7" t="s">
        <v>28</v>
      </c>
      <c r="N30" s="7" t="s">
        <v>315</v>
      </c>
      <c r="O30" s="8" t="s">
        <v>316</v>
      </c>
      <c r="P30" s="7" t="s">
        <v>317</v>
      </c>
      <c r="Q30" s="9" t="s">
        <v>318</v>
      </c>
      <c r="R30" s="10" t="s">
        <v>316</v>
      </c>
      <c r="S30" s="3"/>
      <c r="T30" s="3"/>
      <c r="U30" s="3"/>
      <c r="V30" s="3"/>
      <c r="W30" s="3"/>
      <c r="X30" s="3"/>
      <c r="Y30" s="3"/>
      <c r="Z30" s="3"/>
    </row>
    <row r="31" spans="1:26" ht="15.75" customHeight="1">
      <c r="A31" s="11">
        <v>30</v>
      </c>
      <c r="B31" s="5" t="s">
        <v>18</v>
      </c>
      <c r="C31" s="11">
        <v>35</v>
      </c>
      <c r="D31" s="12" t="s">
        <v>319</v>
      </c>
      <c r="E31" s="13" t="s">
        <v>320</v>
      </c>
      <c r="F31" s="13" t="s">
        <v>321</v>
      </c>
      <c r="G31" s="13" t="s">
        <v>132</v>
      </c>
      <c r="H31" s="13">
        <v>2026</v>
      </c>
      <c r="I31" s="13" t="s">
        <v>322</v>
      </c>
      <c r="J31" s="13" t="s">
        <v>323</v>
      </c>
      <c r="K31" s="13" t="s">
        <v>55</v>
      </c>
      <c r="L31" s="13" t="s">
        <v>38</v>
      </c>
      <c r="M31" s="13" t="s">
        <v>324</v>
      </c>
      <c r="N31" s="13" t="s">
        <v>325</v>
      </c>
      <c r="O31" s="14" t="s">
        <v>326</v>
      </c>
      <c r="P31" s="13" t="s">
        <v>327</v>
      </c>
      <c r="Q31" s="20" t="s">
        <v>224</v>
      </c>
      <c r="R31" s="16" t="s">
        <v>328</v>
      </c>
      <c r="S31" s="3"/>
      <c r="T31" s="3"/>
      <c r="U31" s="3"/>
      <c r="V31" s="3"/>
      <c r="W31" s="3"/>
      <c r="X31" s="3"/>
      <c r="Y31" s="3"/>
      <c r="Z31" s="3"/>
    </row>
    <row r="32" spans="1:26" ht="15.75" customHeight="1">
      <c r="A32" s="4">
        <v>31</v>
      </c>
      <c r="B32" s="5" t="s">
        <v>18</v>
      </c>
      <c r="C32" s="4">
        <v>36</v>
      </c>
      <c r="D32" s="6" t="s">
        <v>329</v>
      </c>
      <c r="E32" s="7" t="s">
        <v>330</v>
      </c>
      <c r="F32" s="7" t="s">
        <v>331</v>
      </c>
      <c r="G32" s="7" t="s">
        <v>132</v>
      </c>
      <c r="H32" s="7">
        <v>2026</v>
      </c>
      <c r="I32" s="7" t="s">
        <v>332</v>
      </c>
      <c r="J32" s="7" t="s">
        <v>333</v>
      </c>
      <c r="K32" s="7" t="s">
        <v>334</v>
      </c>
      <c r="L32" s="7" t="s">
        <v>335</v>
      </c>
      <c r="M32" s="7" t="s">
        <v>336</v>
      </c>
      <c r="N32" s="7" t="s">
        <v>337</v>
      </c>
      <c r="O32" s="8" t="s">
        <v>338</v>
      </c>
      <c r="P32" s="7" t="s">
        <v>339</v>
      </c>
      <c r="Q32" s="9" t="s">
        <v>31</v>
      </c>
      <c r="R32" s="10" t="s">
        <v>338</v>
      </c>
      <c r="S32" s="3"/>
      <c r="T32" s="3"/>
      <c r="U32" s="3"/>
      <c r="V32" s="3"/>
      <c r="W32" s="3"/>
      <c r="X32" s="3"/>
      <c r="Y32" s="3"/>
      <c r="Z32" s="3"/>
    </row>
    <row r="33" spans="1:26" ht="15.75" customHeight="1">
      <c r="A33" s="11">
        <v>32</v>
      </c>
      <c r="B33" s="5" t="s">
        <v>18</v>
      </c>
      <c r="C33" s="11">
        <v>39</v>
      </c>
      <c r="D33" s="12" t="s">
        <v>340</v>
      </c>
      <c r="E33" s="13" t="s">
        <v>341</v>
      </c>
      <c r="F33" s="13" t="s">
        <v>342</v>
      </c>
      <c r="G33" s="13" t="s">
        <v>343</v>
      </c>
      <c r="H33" s="13">
        <v>2025</v>
      </c>
      <c r="I33" s="13" t="s">
        <v>344</v>
      </c>
      <c r="J33" s="13" t="s">
        <v>345</v>
      </c>
      <c r="K33" s="13" t="s">
        <v>346</v>
      </c>
      <c r="L33" s="13" t="s">
        <v>38</v>
      </c>
      <c r="M33" s="13" t="s">
        <v>347</v>
      </c>
      <c r="N33" s="13" t="s">
        <v>28</v>
      </c>
      <c r="O33" s="13" t="s">
        <v>348</v>
      </c>
      <c r="P33" s="13" t="s">
        <v>349</v>
      </c>
      <c r="Q33" s="9" t="s">
        <v>31</v>
      </c>
      <c r="R33" s="10" t="s">
        <v>350</v>
      </c>
      <c r="S33" s="3"/>
      <c r="T33" s="3"/>
      <c r="U33" s="3"/>
      <c r="V33" s="3"/>
      <c r="W33" s="3"/>
      <c r="X33" s="3"/>
      <c r="Y33" s="3"/>
      <c r="Z33" s="3"/>
    </row>
    <row r="34" spans="1:26" ht="15.75" customHeight="1">
      <c r="A34" s="4">
        <v>33</v>
      </c>
      <c r="B34" s="5" t="s">
        <v>18</v>
      </c>
      <c r="C34" s="4">
        <v>40</v>
      </c>
      <c r="D34" s="6" t="s">
        <v>351</v>
      </c>
      <c r="E34" s="7" t="s">
        <v>352</v>
      </c>
      <c r="F34" s="7" t="s">
        <v>353</v>
      </c>
      <c r="G34" s="7" t="s">
        <v>354</v>
      </c>
      <c r="H34" s="7">
        <v>2023</v>
      </c>
      <c r="I34" s="7" t="s">
        <v>355</v>
      </c>
      <c r="J34" s="7" t="s">
        <v>356</v>
      </c>
      <c r="K34" s="7" t="s">
        <v>168</v>
      </c>
      <c r="L34" s="7" t="s">
        <v>38</v>
      </c>
      <c r="M34" s="7" t="s">
        <v>357</v>
      </c>
      <c r="N34" s="7" t="s">
        <v>358</v>
      </c>
      <c r="O34" s="7" t="s">
        <v>359</v>
      </c>
      <c r="P34" s="7" t="s">
        <v>360</v>
      </c>
      <c r="Q34" s="18" t="s">
        <v>182</v>
      </c>
      <c r="R34" s="16" t="s">
        <v>361</v>
      </c>
      <c r="S34" s="3"/>
      <c r="T34" s="3"/>
      <c r="U34" s="3"/>
      <c r="V34" s="3"/>
      <c r="W34" s="3"/>
      <c r="X34" s="3"/>
      <c r="Y34" s="3"/>
      <c r="Z34" s="3"/>
    </row>
    <row r="35" spans="1:26" ht="15.75" customHeight="1">
      <c r="A35" s="11">
        <v>34</v>
      </c>
      <c r="B35" s="5" t="s">
        <v>18</v>
      </c>
      <c r="C35" s="11">
        <v>41</v>
      </c>
      <c r="D35" s="12" t="s">
        <v>362</v>
      </c>
      <c r="E35" s="13" t="s">
        <v>363</v>
      </c>
      <c r="F35" s="13" t="s">
        <v>364</v>
      </c>
      <c r="G35" s="13" t="s">
        <v>365</v>
      </c>
      <c r="H35" s="13">
        <v>2025</v>
      </c>
      <c r="I35" s="13" t="s">
        <v>366</v>
      </c>
      <c r="J35" s="13" t="s">
        <v>367</v>
      </c>
      <c r="K35" s="13" t="s">
        <v>346</v>
      </c>
      <c r="L35" s="13" t="s">
        <v>38</v>
      </c>
      <c r="M35" s="13" t="s">
        <v>28</v>
      </c>
      <c r="N35" s="13" t="s">
        <v>368</v>
      </c>
      <c r="O35" s="14" t="s">
        <v>369</v>
      </c>
      <c r="P35" s="13" t="s">
        <v>370</v>
      </c>
      <c r="Q35" s="9" t="s">
        <v>31</v>
      </c>
      <c r="R35" s="10" t="s">
        <v>369</v>
      </c>
      <c r="S35" s="3"/>
      <c r="T35" s="3"/>
      <c r="U35" s="3"/>
      <c r="V35" s="3"/>
      <c r="W35" s="3"/>
      <c r="X35" s="3"/>
      <c r="Y35" s="3"/>
      <c r="Z35" s="3"/>
    </row>
    <row r="36" spans="1:26" ht="15.75" customHeight="1">
      <c r="A36" s="4">
        <v>35</v>
      </c>
      <c r="B36" s="5" t="s">
        <v>18</v>
      </c>
      <c r="C36" s="4">
        <v>43</v>
      </c>
      <c r="D36" s="6" t="s">
        <v>371</v>
      </c>
      <c r="E36" s="7" t="s">
        <v>372</v>
      </c>
      <c r="F36" s="7" t="s">
        <v>373</v>
      </c>
      <c r="G36" s="7" t="s">
        <v>374</v>
      </c>
      <c r="H36" s="7">
        <v>2020</v>
      </c>
      <c r="I36" s="7" t="s">
        <v>375</v>
      </c>
      <c r="J36" s="7" t="s">
        <v>376</v>
      </c>
      <c r="K36" s="7" t="s">
        <v>377</v>
      </c>
      <c r="L36" s="7" t="s">
        <v>292</v>
      </c>
      <c r="M36" s="7" t="s">
        <v>378</v>
      </c>
      <c r="N36" s="7" t="s">
        <v>379</v>
      </c>
      <c r="O36" s="7" t="s">
        <v>380</v>
      </c>
      <c r="P36" s="7" t="s">
        <v>381</v>
      </c>
      <c r="Q36" s="9" t="s">
        <v>31</v>
      </c>
      <c r="R36" s="10" t="s">
        <v>382</v>
      </c>
      <c r="S36" s="3"/>
      <c r="T36" s="3"/>
      <c r="U36" s="3"/>
      <c r="V36" s="3"/>
      <c r="W36" s="3"/>
      <c r="X36" s="3"/>
      <c r="Y36" s="3"/>
      <c r="Z36" s="3"/>
    </row>
    <row r="37" spans="1:26" ht="15.75" customHeight="1">
      <c r="A37" s="11">
        <v>36</v>
      </c>
      <c r="B37" s="5" t="s">
        <v>18</v>
      </c>
      <c r="C37" s="11">
        <v>44</v>
      </c>
      <c r="D37" s="12" t="s">
        <v>383</v>
      </c>
      <c r="E37" s="13" t="s">
        <v>384</v>
      </c>
      <c r="F37" s="13" t="s">
        <v>385</v>
      </c>
      <c r="G37" s="13" t="s">
        <v>374</v>
      </c>
      <c r="H37" s="13">
        <v>2022</v>
      </c>
      <c r="I37" s="13" t="s">
        <v>386</v>
      </c>
      <c r="J37" s="13" t="s">
        <v>387</v>
      </c>
      <c r="K37" s="13" t="s">
        <v>388</v>
      </c>
      <c r="L37" s="13" t="s">
        <v>38</v>
      </c>
      <c r="M37" s="13" t="s">
        <v>389</v>
      </c>
      <c r="N37" s="13" t="s">
        <v>28</v>
      </c>
      <c r="O37" s="14" t="s">
        <v>390</v>
      </c>
      <c r="P37" s="13" t="s">
        <v>391</v>
      </c>
      <c r="Q37" s="18" t="s">
        <v>182</v>
      </c>
      <c r="R37" s="16" t="s">
        <v>390</v>
      </c>
      <c r="S37" s="3"/>
      <c r="T37" s="3"/>
      <c r="U37" s="3"/>
      <c r="V37" s="3"/>
      <c r="W37" s="3"/>
      <c r="X37" s="3"/>
      <c r="Y37" s="3"/>
      <c r="Z37" s="3"/>
    </row>
    <row r="38" spans="1:26" ht="15.75" customHeight="1">
      <c r="A38" s="4">
        <v>37</v>
      </c>
      <c r="B38" s="5" t="s">
        <v>18</v>
      </c>
      <c r="C38" s="4">
        <v>46</v>
      </c>
      <c r="D38" s="6" t="s">
        <v>392</v>
      </c>
      <c r="E38" s="7" t="s">
        <v>393</v>
      </c>
      <c r="F38" s="7" t="s">
        <v>394</v>
      </c>
      <c r="G38" s="7" t="s">
        <v>395</v>
      </c>
      <c r="H38" s="7">
        <v>2023</v>
      </c>
      <c r="I38" s="7" t="s">
        <v>396</v>
      </c>
      <c r="J38" s="7" t="s">
        <v>397</v>
      </c>
      <c r="K38" s="7" t="s">
        <v>398</v>
      </c>
      <c r="L38" s="7" t="s">
        <v>399</v>
      </c>
      <c r="M38" s="7" t="s">
        <v>400</v>
      </c>
      <c r="N38" s="7" t="s">
        <v>401</v>
      </c>
      <c r="O38" s="8" t="s">
        <v>402</v>
      </c>
      <c r="P38" s="7" t="s">
        <v>403</v>
      </c>
      <c r="Q38" s="15" t="s">
        <v>139</v>
      </c>
      <c r="R38" s="16" t="s">
        <v>404</v>
      </c>
      <c r="S38" s="3"/>
      <c r="T38" s="3"/>
      <c r="U38" s="3"/>
      <c r="V38" s="3"/>
      <c r="W38" s="3"/>
      <c r="X38" s="3"/>
      <c r="Y38" s="3"/>
      <c r="Z38" s="3"/>
    </row>
    <row r="39" spans="1:26" ht="15.75" customHeight="1">
      <c r="A39" s="11">
        <v>38</v>
      </c>
      <c r="B39" s="5" t="s">
        <v>18</v>
      </c>
      <c r="C39" s="11">
        <v>47</v>
      </c>
      <c r="D39" s="12" t="s">
        <v>405</v>
      </c>
      <c r="E39" s="13" t="s">
        <v>406</v>
      </c>
      <c r="F39" s="13" t="s">
        <v>407</v>
      </c>
      <c r="G39" s="13" t="s">
        <v>408</v>
      </c>
      <c r="H39" s="13">
        <v>2019</v>
      </c>
      <c r="I39" s="13" t="s">
        <v>409</v>
      </c>
      <c r="J39" s="13" t="s">
        <v>410</v>
      </c>
      <c r="K39" s="13" t="s">
        <v>411</v>
      </c>
      <c r="L39" s="13" t="s">
        <v>412</v>
      </c>
      <c r="M39" s="13" t="s">
        <v>28</v>
      </c>
      <c r="N39" s="13" t="s">
        <v>28</v>
      </c>
      <c r="O39" s="14" t="s">
        <v>413</v>
      </c>
      <c r="P39" s="13" t="s">
        <v>414</v>
      </c>
      <c r="Q39" s="15" t="s">
        <v>139</v>
      </c>
      <c r="R39" s="16" t="s">
        <v>415</v>
      </c>
      <c r="S39" s="3"/>
      <c r="T39" s="3"/>
      <c r="U39" s="3"/>
      <c r="V39" s="3"/>
      <c r="W39" s="3"/>
      <c r="X39" s="3"/>
      <c r="Y39" s="3"/>
      <c r="Z39" s="3"/>
    </row>
    <row r="40" spans="1:26" ht="15.75" customHeight="1">
      <c r="A40" s="4">
        <v>39</v>
      </c>
      <c r="B40" s="5" t="s">
        <v>18</v>
      </c>
      <c r="C40" s="4">
        <v>49</v>
      </c>
      <c r="D40" s="6" t="s">
        <v>416</v>
      </c>
      <c r="E40" s="7" t="s">
        <v>417</v>
      </c>
      <c r="F40" s="7" t="s">
        <v>418</v>
      </c>
      <c r="G40" s="7" t="s">
        <v>419</v>
      </c>
      <c r="H40" s="7">
        <v>2025</v>
      </c>
      <c r="I40" s="7" t="s">
        <v>420</v>
      </c>
      <c r="J40" s="7" t="s">
        <v>421</v>
      </c>
      <c r="K40" s="7" t="s">
        <v>422</v>
      </c>
      <c r="L40" s="7" t="s">
        <v>292</v>
      </c>
      <c r="M40" s="7" t="s">
        <v>423</v>
      </c>
      <c r="N40" s="7" t="s">
        <v>424</v>
      </c>
      <c r="O40" s="7" t="s">
        <v>425</v>
      </c>
      <c r="P40" s="7" t="s">
        <v>426</v>
      </c>
      <c r="Q40" s="9" t="s">
        <v>31</v>
      </c>
      <c r="R40" s="10" t="s">
        <v>427</v>
      </c>
      <c r="S40" s="3"/>
      <c r="T40" s="3"/>
      <c r="U40" s="3"/>
      <c r="V40" s="3"/>
      <c r="W40" s="3"/>
      <c r="X40" s="3"/>
      <c r="Y40" s="3"/>
      <c r="Z40" s="3"/>
    </row>
    <row r="41" spans="1:26" ht="15.75" customHeight="1">
      <c r="A41" s="11">
        <v>40</v>
      </c>
      <c r="B41" s="5" t="s">
        <v>18</v>
      </c>
      <c r="C41" s="11">
        <v>51</v>
      </c>
      <c r="D41" s="12" t="s">
        <v>428</v>
      </c>
      <c r="E41" s="13" t="s">
        <v>429</v>
      </c>
      <c r="F41" s="13" t="s">
        <v>430</v>
      </c>
      <c r="G41" s="13" t="s">
        <v>431</v>
      </c>
      <c r="H41" s="13">
        <v>2020</v>
      </c>
      <c r="I41" s="13" t="s">
        <v>432</v>
      </c>
      <c r="J41" s="13" t="s">
        <v>433</v>
      </c>
      <c r="K41" s="13" t="s">
        <v>189</v>
      </c>
      <c r="L41" s="13" t="s">
        <v>114</v>
      </c>
      <c r="M41" s="13" t="s">
        <v>434</v>
      </c>
      <c r="N41" s="13" t="s">
        <v>28</v>
      </c>
      <c r="O41" s="14" t="s">
        <v>435</v>
      </c>
      <c r="P41" s="13" t="s">
        <v>436</v>
      </c>
      <c r="Q41" s="22" t="s">
        <v>437</v>
      </c>
      <c r="R41" s="16" t="s">
        <v>435</v>
      </c>
      <c r="S41" s="3"/>
      <c r="T41" s="3"/>
      <c r="U41" s="3"/>
      <c r="V41" s="3"/>
      <c r="W41" s="3"/>
      <c r="X41" s="3"/>
      <c r="Y41" s="3"/>
      <c r="Z41" s="3"/>
    </row>
    <row r="42" spans="1:26" ht="15.75" customHeight="1">
      <c r="A42" s="4">
        <v>41</v>
      </c>
      <c r="B42" s="5" t="s">
        <v>18</v>
      </c>
      <c r="C42" s="4">
        <v>52</v>
      </c>
      <c r="D42" s="6" t="s">
        <v>438</v>
      </c>
      <c r="E42" s="7" t="s">
        <v>439</v>
      </c>
      <c r="F42" s="7" t="s">
        <v>440</v>
      </c>
      <c r="G42" s="7" t="s">
        <v>431</v>
      </c>
      <c r="H42" s="7">
        <v>2024</v>
      </c>
      <c r="I42" s="7" t="s">
        <v>441</v>
      </c>
      <c r="J42" s="7" t="s">
        <v>442</v>
      </c>
      <c r="K42" s="7" t="s">
        <v>443</v>
      </c>
      <c r="L42" s="7" t="s">
        <v>38</v>
      </c>
      <c r="M42" s="7" t="s">
        <v>444</v>
      </c>
      <c r="N42" s="7" t="s">
        <v>445</v>
      </c>
      <c r="O42" s="8" t="s">
        <v>446</v>
      </c>
      <c r="P42" s="7" t="s">
        <v>447</v>
      </c>
      <c r="Q42" s="20" t="s">
        <v>224</v>
      </c>
      <c r="R42" s="16" t="s">
        <v>446</v>
      </c>
      <c r="S42" s="3"/>
      <c r="T42" s="3"/>
      <c r="U42" s="3"/>
      <c r="V42" s="3"/>
      <c r="W42" s="3"/>
      <c r="X42" s="3"/>
      <c r="Y42" s="3"/>
      <c r="Z42" s="3"/>
    </row>
    <row r="43" spans="1:26" ht="15.75" customHeight="1">
      <c r="A43" s="11">
        <v>42</v>
      </c>
      <c r="B43" s="5" t="s">
        <v>18</v>
      </c>
      <c r="C43" s="11">
        <v>55</v>
      </c>
      <c r="D43" s="12" t="s">
        <v>448</v>
      </c>
      <c r="E43" s="13" t="s">
        <v>449</v>
      </c>
      <c r="F43" s="13" t="s">
        <v>450</v>
      </c>
      <c r="G43" s="13" t="s">
        <v>431</v>
      </c>
      <c r="H43" s="13">
        <v>2021</v>
      </c>
      <c r="I43" s="13" t="s">
        <v>451</v>
      </c>
      <c r="J43" s="13" t="s">
        <v>452</v>
      </c>
      <c r="K43" s="13" t="s">
        <v>453</v>
      </c>
      <c r="L43" s="13" t="s">
        <v>454</v>
      </c>
      <c r="M43" s="13" t="s">
        <v>455</v>
      </c>
      <c r="N43" s="13" t="s">
        <v>28</v>
      </c>
      <c r="O43" s="14" t="s">
        <v>456</v>
      </c>
      <c r="P43" s="13" t="s">
        <v>457</v>
      </c>
      <c r="Q43" s="22" t="s">
        <v>437</v>
      </c>
      <c r="R43" s="16" t="s">
        <v>456</v>
      </c>
      <c r="S43" s="3"/>
      <c r="T43" s="3"/>
      <c r="U43" s="3"/>
      <c r="V43" s="3"/>
      <c r="W43" s="3"/>
      <c r="X43" s="3"/>
      <c r="Y43" s="3"/>
      <c r="Z43" s="3"/>
    </row>
    <row r="44" spans="1:26" ht="15.75" customHeight="1">
      <c r="A44" s="4">
        <v>43</v>
      </c>
      <c r="B44" s="5" t="s">
        <v>18</v>
      </c>
      <c r="C44" s="4">
        <v>63</v>
      </c>
      <c r="D44" s="6" t="s">
        <v>458</v>
      </c>
      <c r="E44" s="7" t="s">
        <v>459</v>
      </c>
      <c r="F44" s="7" t="s">
        <v>460</v>
      </c>
      <c r="G44" s="7" t="s">
        <v>132</v>
      </c>
      <c r="H44" s="7">
        <v>2026</v>
      </c>
      <c r="I44" s="7" t="s">
        <v>461</v>
      </c>
      <c r="J44" s="7" t="s">
        <v>462</v>
      </c>
      <c r="K44" s="7" t="s">
        <v>422</v>
      </c>
      <c r="L44" s="7" t="s">
        <v>38</v>
      </c>
      <c r="M44" s="7" t="s">
        <v>463</v>
      </c>
      <c r="N44" s="7" t="s">
        <v>464</v>
      </c>
      <c r="O44" s="8" t="s">
        <v>465</v>
      </c>
      <c r="P44" s="7" t="s">
        <v>466</v>
      </c>
      <c r="Q44" s="9" t="s">
        <v>31</v>
      </c>
      <c r="R44" s="10" t="s">
        <v>465</v>
      </c>
      <c r="S44" s="3"/>
      <c r="T44" s="3"/>
      <c r="U44" s="3"/>
      <c r="V44" s="3"/>
      <c r="W44" s="3"/>
      <c r="X44" s="3"/>
      <c r="Y44" s="3"/>
      <c r="Z44" s="3"/>
    </row>
    <row r="45" spans="1:26" ht="15.75" customHeight="1">
      <c r="A45" s="11">
        <v>44</v>
      </c>
      <c r="B45" s="5" t="s">
        <v>18</v>
      </c>
      <c r="C45" s="11">
        <v>65</v>
      </c>
      <c r="D45" s="12" t="s">
        <v>467</v>
      </c>
      <c r="E45" s="13" t="s">
        <v>468</v>
      </c>
      <c r="F45" s="13" t="s">
        <v>469</v>
      </c>
      <c r="G45" s="13" t="s">
        <v>132</v>
      </c>
      <c r="H45" s="13">
        <v>2018</v>
      </c>
      <c r="I45" s="13" t="s">
        <v>470</v>
      </c>
      <c r="J45" s="13" t="s">
        <v>471</v>
      </c>
      <c r="K45" s="13" t="s">
        <v>168</v>
      </c>
      <c r="L45" s="13" t="s">
        <v>38</v>
      </c>
      <c r="M45" s="13" t="s">
        <v>28</v>
      </c>
      <c r="N45" s="13" t="s">
        <v>28</v>
      </c>
      <c r="O45" s="14" t="s">
        <v>472</v>
      </c>
      <c r="P45" s="13" t="s">
        <v>473</v>
      </c>
      <c r="Q45" s="15" t="s">
        <v>139</v>
      </c>
      <c r="R45" s="16" t="s">
        <v>472</v>
      </c>
      <c r="S45" s="3"/>
      <c r="T45" s="3"/>
      <c r="U45" s="3"/>
      <c r="V45" s="3"/>
      <c r="W45" s="3"/>
      <c r="X45" s="3"/>
      <c r="Y45" s="3"/>
      <c r="Z45" s="3"/>
    </row>
    <row r="46" spans="1:26" ht="15.75" customHeight="1">
      <c r="A46" s="4">
        <v>45</v>
      </c>
      <c r="B46" s="5" t="s">
        <v>18</v>
      </c>
      <c r="C46" s="4">
        <v>67</v>
      </c>
      <c r="D46" s="6" t="s">
        <v>474</v>
      </c>
      <c r="E46" s="7" t="s">
        <v>475</v>
      </c>
      <c r="F46" s="7" t="s">
        <v>476</v>
      </c>
      <c r="G46" s="7" t="s">
        <v>477</v>
      </c>
      <c r="H46" s="7">
        <v>2020</v>
      </c>
      <c r="I46" s="7" t="s">
        <v>478</v>
      </c>
      <c r="J46" s="7" t="s">
        <v>479</v>
      </c>
      <c r="K46" s="7">
        <v>3</v>
      </c>
      <c r="L46" s="7" t="s">
        <v>38</v>
      </c>
      <c r="M46" s="7" t="s">
        <v>28</v>
      </c>
      <c r="N46" s="7" t="s">
        <v>28</v>
      </c>
      <c r="O46" s="7" t="s">
        <v>480</v>
      </c>
      <c r="P46" s="7" t="s">
        <v>481</v>
      </c>
      <c r="Q46" s="9" t="s">
        <v>31</v>
      </c>
      <c r="R46" s="10" t="s">
        <v>482</v>
      </c>
      <c r="S46" s="3"/>
      <c r="T46" s="3"/>
      <c r="U46" s="3"/>
      <c r="V46" s="3"/>
      <c r="W46" s="3"/>
      <c r="X46" s="3"/>
      <c r="Y46" s="3"/>
      <c r="Z46" s="3"/>
    </row>
    <row r="47" spans="1:26" ht="15.75" customHeight="1">
      <c r="A47" s="11">
        <v>46</v>
      </c>
      <c r="B47" s="5" t="s">
        <v>18</v>
      </c>
      <c r="C47" s="11">
        <v>68</v>
      </c>
      <c r="D47" s="12" t="s">
        <v>483</v>
      </c>
      <c r="E47" s="13" t="s">
        <v>484</v>
      </c>
      <c r="F47" s="13" t="s">
        <v>485</v>
      </c>
      <c r="G47" s="13" t="s">
        <v>477</v>
      </c>
      <c r="H47" s="13">
        <v>2020</v>
      </c>
      <c r="I47" s="13" t="s">
        <v>486</v>
      </c>
      <c r="J47" s="13" t="s">
        <v>487</v>
      </c>
      <c r="K47" s="13" t="s">
        <v>28</v>
      </c>
      <c r="L47" s="13" t="s">
        <v>38</v>
      </c>
      <c r="M47" s="13" t="s">
        <v>28</v>
      </c>
      <c r="N47" s="13" t="s">
        <v>28</v>
      </c>
      <c r="O47" s="13" t="s">
        <v>488</v>
      </c>
      <c r="P47" s="13" t="s">
        <v>489</v>
      </c>
      <c r="Q47" s="9" t="s">
        <v>31</v>
      </c>
      <c r="R47" s="10" t="s">
        <v>490</v>
      </c>
      <c r="S47" s="3"/>
      <c r="T47" s="3"/>
      <c r="U47" s="3"/>
      <c r="V47" s="3"/>
      <c r="W47" s="3"/>
      <c r="X47" s="3"/>
      <c r="Y47" s="3"/>
      <c r="Z47" s="3"/>
    </row>
    <row r="48" spans="1:26" ht="15.75" customHeight="1">
      <c r="A48" s="4">
        <v>47</v>
      </c>
      <c r="B48" s="5" t="s">
        <v>18</v>
      </c>
      <c r="C48" s="4">
        <v>69</v>
      </c>
      <c r="D48" s="6" t="s">
        <v>491</v>
      </c>
      <c r="E48" s="7" t="s">
        <v>492</v>
      </c>
      <c r="F48" s="7" t="s">
        <v>493</v>
      </c>
      <c r="G48" s="7" t="s">
        <v>477</v>
      </c>
      <c r="H48" s="7">
        <v>2020</v>
      </c>
      <c r="I48" s="7" t="s">
        <v>494</v>
      </c>
      <c r="J48" s="7" t="s">
        <v>495</v>
      </c>
      <c r="K48" s="7" t="s">
        <v>496</v>
      </c>
      <c r="L48" s="7" t="s">
        <v>38</v>
      </c>
      <c r="M48" s="7" t="s">
        <v>28</v>
      </c>
      <c r="N48" s="7" t="s">
        <v>28</v>
      </c>
      <c r="O48" s="7" t="s">
        <v>497</v>
      </c>
      <c r="P48" s="7" t="s">
        <v>498</v>
      </c>
      <c r="Q48" s="9" t="s">
        <v>31</v>
      </c>
      <c r="R48" s="10" t="s">
        <v>499</v>
      </c>
      <c r="S48" s="3"/>
      <c r="T48" s="3"/>
      <c r="U48" s="3"/>
      <c r="V48" s="3"/>
      <c r="W48" s="3"/>
      <c r="X48" s="3"/>
      <c r="Y48" s="3"/>
      <c r="Z48" s="3"/>
    </row>
    <row r="49" spans="1:26" ht="15.75" customHeight="1">
      <c r="A49" s="11">
        <v>48</v>
      </c>
      <c r="B49" s="5" t="s">
        <v>18</v>
      </c>
      <c r="C49" s="11">
        <v>70</v>
      </c>
      <c r="D49" s="12" t="s">
        <v>500</v>
      </c>
      <c r="E49" s="13" t="s">
        <v>501</v>
      </c>
      <c r="F49" s="13" t="s">
        <v>502</v>
      </c>
      <c r="G49" s="13" t="s">
        <v>477</v>
      </c>
      <c r="H49" s="13">
        <v>2021</v>
      </c>
      <c r="I49" s="13" t="s">
        <v>503</v>
      </c>
      <c r="J49" s="13" t="s">
        <v>504</v>
      </c>
      <c r="K49" s="13" t="s">
        <v>505</v>
      </c>
      <c r="L49" s="13" t="s">
        <v>38</v>
      </c>
      <c r="M49" s="13" t="s">
        <v>28</v>
      </c>
      <c r="N49" s="13" t="s">
        <v>28</v>
      </c>
      <c r="O49" s="14" t="s">
        <v>506</v>
      </c>
      <c r="P49" s="13" t="s">
        <v>507</v>
      </c>
      <c r="Q49" s="23" t="s">
        <v>508</v>
      </c>
      <c r="R49" s="16" t="s">
        <v>506</v>
      </c>
      <c r="S49" s="3"/>
      <c r="T49" s="3"/>
      <c r="U49" s="3"/>
      <c r="V49" s="3"/>
      <c r="W49" s="3"/>
      <c r="X49" s="3"/>
      <c r="Y49" s="3"/>
      <c r="Z49" s="3"/>
    </row>
    <row r="50" spans="1:26" ht="15.75" customHeight="1">
      <c r="A50" s="4">
        <v>49</v>
      </c>
      <c r="B50" s="5" t="s">
        <v>18</v>
      </c>
      <c r="C50" s="4">
        <v>71</v>
      </c>
      <c r="D50" s="6" t="s">
        <v>509</v>
      </c>
      <c r="E50" s="7" t="s">
        <v>510</v>
      </c>
      <c r="F50" s="7" t="s">
        <v>511</v>
      </c>
      <c r="G50" s="7" t="s">
        <v>477</v>
      </c>
      <c r="H50" s="7">
        <v>2021</v>
      </c>
      <c r="I50" s="7" t="s">
        <v>512</v>
      </c>
      <c r="J50" s="7" t="s">
        <v>513</v>
      </c>
      <c r="K50" s="7" t="s">
        <v>514</v>
      </c>
      <c r="L50" s="7" t="s">
        <v>38</v>
      </c>
      <c r="M50" s="7" t="s">
        <v>28</v>
      </c>
      <c r="N50" s="7" t="s">
        <v>515</v>
      </c>
      <c r="O50" s="7" t="s">
        <v>516</v>
      </c>
      <c r="P50" s="7" t="s">
        <v>517</v>
      </c>
      <c r="Q50" s="9" t="s">
        <v>31</v>
      </c>
      <c r="R50" s="10" t="s">
        <v>518</v>
      </c>
      <c r="S50" s="3"/>
      <c r="T50" s="3"/>
      <c r="U50" s="3"/>
      <c r="V50" s="3"/>
      <c r="W50" s="3"/>
      <c r="X50" s="3"/>
      <c r="Y50" s="3"/>
      <c r="Z50" s="3"/>
    </row>
    <row r="51" spans="1:26" ht="15.75" customHeight="1">
      <c r="A51" s="11">
        <v>50</v>
      </c>
      <c r="B51" s="5" t="s">
        <v>18</v>
      </c>
      <c r="C51" s="11">
        <v>72</v>
      </c>
      <c r="D51" s="12" t="s">
        <v>519</v>
      </c>
      <c r="E51" s="13" t="s">
        <v>520</v>
      </c>
      <c r="F51" s="13" t="s">
        <v>521</v>
      </c>
      <c r="G51" s="13" t="s">
        <v>477</v>
      </c>
      <c r="H51" s="13">
        <v>2021</v>
      </c>
      <c r="I51" s="13" t="s">
        <v>522</v>
      </c>
      <c r="J51" s="13" t="s">
        <v>523</v>
      </c>
      <c r="K51" s="13" t="s">
        <v>103</v>
      </c>
      <c r="L51" s="13" t="s">
        <v>38</v>
      </c>
      <c r="M51" s="13" t="s">
        <v>28</v>
      </c>
      <c r="N51" s="13" t="s">
        <v>28</v>
      </c>
      <c r="O51" s="13" t="s">
        <v>524</v>
      </c>
      <c r="P51" s="13" t="s">
        <v>525</v>
      </c>
      <c r="Q51" s="9" t="s">
        <v>31</v>
      </c>
      <c r="R51" s="10" t="s">
        <v>526</v>
      </c>
      <c r="S51" s="3"/>
      <c r="T51" s="3"/>
      <c r="U51" s="3"/>
      <c r="V51" s="3"/>
      <c r="W51" s="3"/>
      <c r="X51" s="3"/>
      <c r="Y51" s="3"/>
      <c r="Z51" s="3"/>
    </row>
    <row r="52" spans="1:26" ht="15.75" customHeight="1">
      <c r="A52" s="4">
        <v>51</v>
      </c>
      <c r="B52" s="5" t="s">
        <v>18</v>
      </c>
      <c r="C52" s="4">
        <v>74</v>
      </c>
      <c r="D52" s="6" t="s">
        <v>527</v>
      </c>
      <c r="E52" s="7" t="s">
        <v>528</v>
      </c>
      <c r="F52" s="7" t="s">
        <v>529</v>
      </c>
      <c r="G52" s="7" t="s">
        <v>477</v>
      </c>
      <c r="H52" s="7">
        <v>2023</v>
      </c>
      <c r="I52" s="7" t="s">
        <v>530</v>
      </c>
      <c r="J52" s="7" t="s">
        <v>531</v>
      </c>
      <c r="K52" s="7" t="s">
        <v>168</v>
      </c>
      <c r="L52" s="7" t="s">
        <v>38</v>
      </c>
      <c r="M52" s="7" t="s">
        <v>532</v>
      </c>
      <c r="N52" s="7" t="s">
        <v>533</v>
      </c>
      <c r="O52" s="8" t="s">
        <v>534</v>
      </c>
      <c r="P52" s="7" t="s">
        <v>535</v>
      </c>
      <c r="Q52" s="20" t="s">
        <v>224</v>
      </c>
      <c r="R52" s="16" t="s">
        <v>536</v>
      </c>
      <c r="S52" s="3"/>
      <c r="T52" s="3"/>
      <c r="U52" s="3"/>
      <c r="V52" s="3"/>
      <c r="W52" s="3"/>
      <c r="X52" s="3"/>
      <c r="Y52" s="3"/>
      <c r="Z52" s="3"/>
    </row>
    <row r="53" spans="1:26" ht="15.75" customHeight="1">
      <c r="A53" s="11">
        <v>52</v>
      </c>
      <c r="B53" s="5" t="s">
        <v>18</v>
      </c>
      <c r="C53" s="11">
        <v>75</v>
      </c>
      <c r="D53" s="12" t="s">
        <v>537</v>
      </c>
      <c r="E53" s="13" t="s">
        <v>538</v>
      </c>
      <c r="F53" s="13" t="s">
        <v>539</v>
      </c>
      <c r="G53" s="13" t="s">
        <v>477</v>
      </c>
      <c r="H53" s="13">
        <v>2025</v>
      </c>
      <c r="I53" s="13" t="s">
        <v>540</v>
      </c>
      <c r="J53" s="13" t="s">
        <v>541</v>
      </c>
      <c r="K53" s="13" t="s">
        <v>28</v>
      </c>
      <c r="L53" s="13" t="s">
        <v>542</v>
      </c>
      <c r="M53" s="13" t="s">
        <v>28</v>
      </c>
      <c r="N53" s="13" t="s">
        <v>28</v>
      </c>
      <c r="O53" s="13" t="s">
        <v>543</v>
      </c>
      <c r="P53" s="13" t="s">
        <v>544</v>
      </c>
      <c r="Q53" s="9" t="s">
        <v>318</v>
      </c>
      <c r="R53" s="10" t="s">
        <v>545</v>
      </c>
      <c r="S53" s="3"/>
      <c r="T53" s="3"/>
      <c r="U53" s="3"/>
      <c r="V53" s="3"/>
      <c r="W53" s="3"/>
      <c r="X53" s="3"/>
      <c r="Y53" s="3"/>
      <c r="Z53" s="3"/>
    </row>
    <row r="54" spans="1:26" ht="15.75" customHeight="1">
      <c r="A54" s="24">
        <v>53</v>
      </c>
      <c r="B54" s="25" t="s">
        <v>546</v>
      </c>
      <c r="C54" s="24">
        <v>1</v>
      </c>
      <c r="D54" s="26" t="s">
        <v>527</v>
      </c>
      <c r="E54" s="27" t="s">
        <v>528</v>
      </c>
      <c r="F54" s="27" t="s">
        <v>529</v>
      </c>
      <c r="G54" s="27" t="s">
        <v>477</v>
      </c>
      <c r="H54" s="27" t="s">
        <v>547</v>
      </c>
      <c r="I54" s="27" t="s">
        <v>548</v>
      </c>
      <c r="J54" s="27" t="s">
        <v>549</v>
      </c>
      <c r="K54" s="27" t="s">
        <v>168</v>
      </c>
      <c r="L54" s="27" t="s">
        <v>38</v>
      </c>
      <c r="M54" s="27" t="s">
        <v>550</v>
      </c>
      <c r="N54" s="27" t="s">
        <v>533</v>
      </c>
      <c r="O54" s="28" t="s">
        <v>534</v>
      </c>
      <c r="P54" s="27" t="s">
        <v>551</v>
      </c>
      <c r="Q54" s="20" t="s">
        <v>224</v>
      </c>
      <c r="R54" s="16" t="s">
        <v>536</v>
      </c>
      <c r="S54" s="3"/>
      <c r="T54" s="3"/>
      <c r="U54" s="3"/>
      <c r="V54" s="3"/>
      <c r="W54" s="3"/>
      <c r="X54" s="3"/>
      <c r="Y54" s="3"/>
      <c r="Z54" s="3"/>
    </row>
    <row r="55" spans="1:26" ht="15.75" customHeight="1">
      <c r="A55" s="29">
        <v>54</v>
      </c>
      <c r="B55" s="25" t="s">
        <v>546</v>
      </c>
      <c r="C55" s="29">
        <v>2</v>
      </c>
      <c r="D55" s="30" t="s">
        <v>552</v>
      </c>
      <c r="E55" s="31" t="s">
        <v>553</v>
      </c>
      <c r="F55" s="31" t="s">
        <v>554</v>
      </c>
      <c r="G55" s="31" t="s">
        <v>555</v>
      </c>
      <c r="H55" s="31" t="s">
        <v>556</v>
      </c>
      <c r="I55" s="31" t="s">
        <v>557</v>
      </c>
      <c r="J55" s="31" t="s">
        <v>558</v>
      </c>
      <c r="K55" s="31" t="s">
        <v>559</v>
      </c>
      <c r="L55" s="31" t="s">
        <v>560</v>
      </c>
      <c r="M55" s="31" t="s">
        <v>28</v>
      </c>
      <c r="N55" s="31" t="s">
        <v>561</v>
      </c>
      <c r="O55" s="32" t="s">
        <v>562</v>
      </c>
      <c r="P55" s="31" t="s">
        <v>563</v>
      </c>
      <c r="Q55" s="18" t="s">
        <v>182</v>
      </c>
      <c r="R55" s="16" t="s">
        <v>562</v>
      </c>
      <c r="S55" s="3"/>
      <c r="T55" s="3"/>
      <c r="U55" s="3"/>
      <c r="V55" s="3"/>
      <c r="W55" s="3"/>
      <c r="X55" s="3"/>
      <c r="Y55" s="3"/>
      <c r="Z55" s="3"/>
    </row>
    <row r="56" spans="1:26" ht="15.75" customHeight="1">
      <c r="A56" s="24">
        <v>55</v>
      </c>
      <c r="B56" s="25" t="s">
        <v>546</v>
      </c>
      <c r="C56" s="24">
        <v>3</v>
      </c>
      <c r="D56" s="26" t="s">
        <v>458</v>
      </c>
      <c r="E56" s="27" t="s">
        <v>564</v>
      </c>
      <c r="F56" s="27" t="s">
        <v>565</v>
      </c>
      <c r="G56" s="27" t="s">
        <v>132</v>
      </c>
      <c r="H56" s="27" t="s">
        <v>566</v>
      </c>
      <c r="I56" s="27" t="s">
        <v>567</v>
      </c>
      <c r="J56" s="27" t="s">
        <v>568</v>
      </c>
      <c r="K56" s="27" t="s">
        <v>422</v>
      </c>
      <c r="L56" s="27" t="s">
        <v>569</v>
      </c>
      <c r="M56" s="27" t="s">
        <v>570</v>
      </c>
      <c r="N56" s="27" t="s">
        <v>28</v>
      </c>
      <c r="O56" s="28" t="s">
        <v>465</v>
      </c>
      <c r="P56" s="27" t="s">
        <v>571</v>
      </c>
      <c r="Q56" s="9" t="s">
        <v>31</v>
      </c>
      <c r="R56" s="10" t="s">
        <v>465</v>
      </c>
      <c r="S56" s="3"/>
      <c r="T56" s="3"/>
      <c r="U56" s="3"/>
      <c r="V56" s="3"/>
      <c r="W56" s="3"/>
      <c r="X56" s="3"/>
      <c r="Y56" s="3"/>
      <c r="Z56" s="3"/>
    </row>
    <row r="57" spans="1:26" ht="15.75" customHeight="1">
      <c r="A57" s="29">
        <v>56</v>
      </c>
      <c r="B57" s="25" t="s">
        <v>546</v>
      </c>
      <c r="C57" s="29">
        <v>5</v>
      </c>
      <c r="D57" s="30" t="s">
        <v>572</v>
      </c>
      <c r="E57" s="31" t="s">
        <v>573</v>
      </c>
      <c r="F57" s="31" t="s">
        <v>574</v>
      </c>
      <c r="G57" s="31" t="s">
        <v>132</v>
      </c>
      <c r="H57" s="31" t="s">
        <v>556</v>
      </c>
      <c r="I57" s="31" t="s">
        <v>575</v>
      </c>
      <c r="J57" s="31" t="s">
        <v>576</v>
      </c>
      <c r="K57" s="31" t="s">
        <v>279</v>
      </c>
      <c r="L57" s="31" t="s">
        <v>577</v>
      </c>
      <c r="M57" s="31" t="s">
        <v>578</v>
      </c>
      <c r="N57" s="31" t="s">
        <v>282</v>
      </c>
      <c r="O57" s="32" t="s">
        <v>283</v>
      </c>
      <c r="P57" s="31" t="s">
        <v>579</v>
      </c>
      <c r="Q57" s="15" t="s">
        <v>139</v>
      </c>
      <c r="R57" s="16" t="s">
        <v>285</v>
      </c>
      <c r="S57" s="3"/>
      <c r="T57" s="3"/>
      <c r="U57" s="3"/>
      <c r="V57" s="3"/>
      <c r="W57" s="3"/>
      <c r="X57" s="3"/>
      <c r="Y57" s="3"/>
      <c r="Z57" s="3"/>
    </row>
    <row r="58" spans="1:26" ht="15.75" customHeight="1">
      <c r="A58" s="24">
        <v>57</v>
      </c>
      <c r="B58" s="25" t="s">
        <v>546</v>
      </c>
      <c r="C58" s="24">
        <v>6</v>
      </c>
      <c r="D58" s="26" t="s">
        <v>580</v>
      </c>
      <c r="E58" s="27" t="s">
        <v>494</v>
      </c>
      <c r="F58" s="27" t="s">
        <v>581</v>
      </c>
      <c r="G58" s="27" t="s">
        <v>582</v>
      </c>
      <c r="H58" s="27" t="s">
        <v>28</v>
      </c>
      <c r="I58" s="27" t="s">
        <v>583</v>
      </c>
      <c r="J58" s="27" t="s">
        <v>584</v>
      </c>
      <c r="K58" s="27" t="s">
        <v>496</v>
      </c>
      <c r="L58" s="27" t="s">
        <v>585</v>
      </c>
      <c r="M58" s="27" t="s">
        <v>28</v>
      </c>
      <c r="N58" s="27" t="s">
        <v>28</v>
      </c>
      <c r="O58" s="28" t="s">
        <v>586</v>
      </c>
      <c r="P58" s="27" t="s">
        <v>587</v>
      </c>
      <c r="Q58" s="18" t="s">
        <v>182</v>
      </c>
      <c r="R58" s="16" t="s">
        <v>586</v>
      </c>
      <c r="S58" s="3"/>
      <c r="T58" s="3"/>
      <c r="U58" s="3"/>
      <c r="V58" s="3"/>
      <c r="W58" s="3"/>
      <c r="X58" s="3"/>
      <c r="Y58" s="3"/>
      <c r="Z58" s="3"/>
    </row>
    <row r="59" spans="1:26" ht="15.75" customHeight="1">
      <c r="A59" s="29">
        <v>58</v>
      </c>
      <c r="B59" s="25" t="s">
        <v>546</v>
      </c>
      <c r="C59" s="29">
        <v>7</v>
      </c>
      <c r="D59" s="30" t="s">
        <v>588</v>
      </c>
      <c r="E59" s="31" t="s">
        <v>589</v>
      </c>
      <c r="F59" s="31" t="s">
        <v>590</v>
      </c>
      <c r="G59" s="31" t="s">
        <v>591</v>
      </c>
      <c r="H59" s="31" t="s">
        <v>592</v>
      </c>
      <c r="I59" s="31" t="s">
        <v>593</v>
      </c>
      <c r="J59" s="31" t="s">
        <v>594</v>
      </c>
      <c r="K59" s="31" t="s">
        <v>398</v>
      </c>
      <c r="L59" s="31" t="s">
        <v>595</v>
      </c>
      <c r="M59" s="31" t="s">
        <v>596</v>
      </c>
      <c r="N59" s="31" t="s">
        <v>28</v>
      </c>
      <c r="O59" s="32" t="s">
        <v>597</v>
      </c>
      <c r="P59" s="31" t="s">
        <v>598</v>
      </c>
      <c r="Q59" s="20" t="s">
        <v>224</v>
      </c>
      <c r="R59" s="16" t="s">
        <v>597</v>
      </c>
      <c r="S59" s="3"/>
      <c r="T59" s="3"/>
      <c r="U59" s="3"/>
      <c r="V59" s="3"/>
      <c r="W59" s="3"/>
      <c r="X59" s="3"/>
      <c r="Y59" s="3"/>
      <c r="Z59" s="3"/>
    </row>
    <row r="60" spans="1:26" ht="15.75" customHeight="1">
      <c r="A60" s="24">
        <v>59</v>
      </c>
      <c r="B60" s="25" t="s">
        <v>546</v>
      </c>
      <c r="C60" s="24">
        <v>8</v>
      </c>
      <c r="D60" s="26" t="s">
        <v>599</v>
      </c>
      <c r="E60" s="27" t="s">
        <v>600</v>
      </c>
      <c r="F60" s="27" t="s">
        <v>601</v>
      </c>
      <c r="G60" s="27" t="s">
        <v>602</v>
      </c>
      <c r="H60" s="27" t="s">
        <v>592</v>
      </c>
      <c r="I60" s="27" t="s">
        <v>603</v>
      </c>
      <c r="J60" s="27" t="s">
        <v>604</v>
      </c>
      <c r="K60" s="27" t="s">
        <v>103</v>
      </c>
      <c r="L60" s="27" t="s">
        <v>605</v>
      </c>
      <c r="M60" s="27" t="s">
        <v>28</v>
      </c>
      <c r="N60" s="27" t="s">
        <v>606</v>
      </c>
      <c r="O60" s="28" t="s">
        <v>607</v>
      </c>
      <c r="P60" s="27" t="s">
        <v>608</v>
      </c>
      <c r="Q60" s="33" t="s">
        <v>609</v>
      </c>
      <c r="R60" s="16" t="s">
        <v>607</v>
      </c>
      <c r="S60" s="3"/>
      <c r="T60" s="3"/>
      <c r="U60" s="3"/>
      <c r="V60" s="3"/>
      <c r="W60" s="3"/>
      <c r="X60" s="3"/>
      <c r="Y60" s="3"/>
      <c r="Z60" s="3"/>
    </row>
    <row r="61" spans="1:26" ht="15.75" customHeight="1">
      <c r="A61" s="29">
        <v>60</v>
      </c>
      <c r="B61" s="25" t="s">
        <v>546</v>
      </c>
      <c r="C61" s="29">
        <v>9</v>
      </c>
      <c r="D61" s="30" t="s">
        <v>610</v>
      </c>
      <c r="E61" s="31" t="s">
        <v>611</v>
      </c>
      <c r="F61" s="31" t="s">
        <v>612</v>
      </c>
      <c r="G61" s="31" t="s">
        <v>613</v>
      </c>
      <c r="H61" s="31" t="s">
        <v>592</v>
      </c>
      <c r="I61" s="31" t="s">
        <v>603</v>
      </c>
      <c r="J61" s="31" t="s">
        <v>614</v>
      </c>
      <c r="K61" s="31" t="s">
        <v>269</v>
      </c>
      <c r="L61" s="31" t="s">
        <v>615</v>
      </c>
      <c r="M61" s="31" t="s">
        <v>616</v>
      </c>
      <c r="N61" s="31" t="s">
        <v>617</v>
      </c>
      <c r="O61" s="32" t="s">
        <v>618</v>
      </c>
      <c r="P61" s="31" t="s">
        <v>619</v>
      </c>
      <c r="Q61" s="9" t="s">
        <v>31</v>
      </c>
      <c r="R61" s="10" t="s">
        <v>618</v>
      </c>
      <c r="S61" s="3"/>
      <c r="T61" s="3"/>
      <c r="U61" s="3"/>
      <c r="V61" s="3"/>
      <c r="W61" s="3"/>
      <c r="X61" s="3"/>
      <c r="Y61" s="3"/>
      <c r="Z61" s="3"/>
    </row>
    <row r="62" spans="1:26" ht="15.75" customHeight="1">
      <c r="A62" s="24">
        <v>61</v>
      </c>
      <c r="B62" s="25" t="s">
        <v>546</v>
      </c>
      <c r="C62" s="24">
        <v>10</v>
      </c>
      <c r="D62" s="26" t="s">
        <v>620</v>
      </c>
      <c r="E62" s="27" t="s">
        <v>185</v>
      </c>
      <c r="F62" s="27" t="s">
        <v>186</v>
      </c>
      <c r="G62" s="27" t="s">
        <v>132</v>
      </c>
      <c r="H62" s="27" t="s">
        <v>547</v>
      </c>
      <c r="I62" s="27" t="s">
        <v>621</v>
      </c>
      <c r="J62" s="27" t="s">
        <v>622</v>
      </c>
      <c r="K62" s="27" t="s">
        <v>189</v>
      </c>
      <c r="L62" s="27" t="s">
        <v>623</v>
      </c>
      <c r="M62" s="27" t="s">
        <v>624</v>
      </c>
      <c r="N62" s="27" t="s">
        <v>625</v>
      </c>
      <c r="O62" s="28" t="s">
        <v>192</v>
      </c>
      <c r="P62" s="27" t="s">
        <v>626</v>
      </c>
      <c r="Q62" s="15" t="s">
        <v>139</v>
      </c>
      <c r="R62" s="16" t="s">
        <v>194</v>
      </c>
      <c r="S62" s="3"/>
      <c r="T62" s="3"/>
      <c r="U62" s="3"/>
      <c r="V62" s="3"/>
      <c r="W62" s="3"/>
      <c r="X62" s="3"/>
      <c r="Y62" s="3"/>
      <c r="Z62" s="3"/>
    </row>
    <row r="63" spans="1:26" ht="15.75" customHeight="1">
      <c r="A63" s="29">
        <v>62</v>
      </c>
      <c r="B63" s="25" t="s">
        <v>546</v>
      </c>
      <c r="C63" s="29">
        <v>11</v>
      </c>
      <c r="D63" s="30" t="s">
        <v>627</v>
      </c>
      <c r="E63" s="31" t="s">
        <v>628</v>
      </c>
      <c r="F63" s="31" t="s">
        <v>629</v>
      </c>
      <c r="G63" s="31" t="s">
        <v>132</v>
      </c>
      <c r="H63" s="31" t="s">
        <v>630</v>
      </c>
      <c r="I63" s="31" t="s">
        <v>631</v>
      </c>
      <c r="J63" s="31" t="s">
        <v>632</v>
      </c>
      <c r="K63" s="31" t="s">
        <v>633</v>
      </c>
      <c r="L63" s="31" t="s">
        <v>634</v>
      </c>
      <c r="M63" s="31" t="s">
        <v>635</v>
      </c>
      <c r="N63" s="31" t="s">
        <v>28</v>
      </c>
      <c r="O63" s="32" t="s">
        <v>636</v>
      </c>
      <c r="P63" s="31" t="s">
        <v>637</v>
      </c>
      <c r="Q63" s="9" t="s">
        <v>31</v>
      </c>
      <c r="R63" s="10" t="s">
        <v>636</v>
      </c>
      <c r="S63" s="3"/>
      <c r="T63" s="3"/>
      <c r="U63" s="3"/>
      <c r="V63" s="3"/>
      <c r="W63" s="3"/>
      <c r="X63" s="3"/>
      <c r="Y63" s="3"/>
      <c r="Z63" s="3"/>
    </row>
    <row r="64" spans="1:26" ht="15.75" customHeight="1">
      <c r="A64" s="24">
        <v>63</v>
      </c>
      <c r="B64" s="25" t="s">
        <v>546</v>
      </c>
      <c r="C64" s="24">
        <v>13</v>
      </c>
      <c r="D64" s="26" t="s">
        <v>638</v>
      </c>
      <c r="E64" s="27" t="s">
        <v>639</v>
      </c>
      <c r="F64" s="27" t="s">
        <v>640</v>
      </c>
      <c r="G64" s="27" t="s">
        <v>641</v>
      </c>
      <c r="H64" s="27" t="s">
        <v>547</v>
      </c>
      <c r="I64" s="27" t="s">
        <v>603</v>
      </c>
      <c r="J64" s="27" t="s">
        <v>642</v>
      </c>
      <c r="K64" s="27" t="s">
        <v>643</v>
      </c>
      <c r="L64" s="27" t="s">
        <v>644</v>
      </c>
      <c r="M64" s="27" t="s">
        <v>645</v>
      </c>
      <c r="N64" s="27" t="s">
        <v>646</v>
      </c>
      <c r="O64" s="28" t="s">
        <v>647</v>
      </c>
      <c r="P64" s="27" t="s">
        <v>648</v>
      </c>
      <c r="Q64" s="9" t="s">
        <v>31</v>
      </c>
      <c r="R64" s="10" t="s">
        <v>647</v>
      </c>
      <c r="S64" s="3"/>
      <c r="T64" s="3"/>
      <c r="U64" s="3"/>
      <c r="V64" s="3"/>
      <c r="W64" s="3"/>
      <c r="X64" s="3"/>
      <c r="Y64" s="3"/>
      <c r="Z64" s="3"/>
    </row>
    <row r="65" spans="1:26" ht="15.75" customHeight="1">
      <c r="A65" s="29">
        <v>64</v>
      </c>
      <c r="B65" s="25" t="s">
        <v>546</v>
      </c>
      <c r="C65" s="29">
        <v>14</v>
      </c>
      <c r="D65" s="30" t="s">
        <v>649</v>
      </c>
      <c r="E65" s="31" t="s">
        <v>650</v>
      </c>
      <c r="F65" s="31" t="s">
        <v>28</v>
      </c>
      <c r="G65" s="31" t="s">
        <v>651</v>
      </c>
      <c r="H65" s="31" t="s">
        <v>556</v>
      </c>
      <c r="I65" s="31" t="s">
        <v>652</v>
      </c>
      <c r="J65" s="31" t="s">
        <v>653</v>
      </c>
      <c r="K65" s="31" t="s">
        <v>505</v>
      </c>
      <c r="L65" s="31" t="s">
        <v>38</v>
      </c>
      <c r="M65" s="31" t="s">
        <v>28</v>
      </c>
      <c r="N65" s="31" t="s">
        <v>28</v>
      </c>
      <c r="O65" s="32" t="s">
        <v>654</v>
      </c>
      <c r="P65" s="31" t="s">
        <v>655</v>
      </c>
      <c r="Q65" s="20" t="s">
        <v>224</v>
      </c>
      <c r="R65" s="16" t="s">
        <v>656</v>
      </c>
      <c r="S65" s="3"/>
      <c r="T65" s="3"/>
      <c r="U65" s="3"/>
      <c r="V65" s="3"/>
      <c r="W65" s="3"/>
      <c r="X65" s="3"/>
      <c r="Y65" s="3"/>
      <c r="Z65" s="3"/>
    </row>
    <row r="66" spans="1:26" ht="15.75" customHeight="1">
      <c r="A66" s="24">
        <v>65</v>
      </c>
      <c r="B66" s="25" t="s">
        <v>546</v>
      </c>
      <c r="C66" s="24">
        <v>17</v>
      </c>
      <c r="D66" s="26" t="s">
        <v>392</v>
      </c>
      <c r="E66" s="27" t="s">
        <v>657</v>
      </c>
      <c r="F66" s="27" t="s">
        <v>658</v>
      </c>
      <c r="G66" s="27" t="s">
        <v>395</v>
      </c>
      <c r="H66" s="27" t="s">
        <v>547</v>
      </c>
      <c r="I66" s="27" t="s">
        <v>659</v>
      </c>
      <c r="J66" s="27" t="s">
        <v>660</v>
      </c>
      <c r="K66" s="27" t="s">
        <v>398</v>
      </c>
      <c r="L66" s="27" t="s">
        <v>399</v>
      </c>
      <c r="M66" s="27" t="s">
        <v>661</v>
      </c>
      <c r="N66" s="27" t="s">
        <v>401</v>
      </c>
      <c r="O66" s="28" t="s">
        <v>402</v>
      </c>
      <c r="P66" s="27" t="s">
        <v>662</v>
      </c>
      <c r="Q66" s="15" t="s">
        <v>139</v>
      </c>
      <c r="R66" s="16" t="s">
        <v>404</v>
      </c>
      <c r="S66" s="3"/>
      <c r="T66" s="3"/>
      <c r="U66" s="3"/>
      <c r="V66" s="3"/>
      <c r="W66" s="3"/>
      <c r="X66" s="3"/>
      <c r="Y66" s="3"/>
      <c r="Z66" s="3"/>
    </row>
    <row r="67" spans="1:26" ht="15.75" customHeight="1">
      <c r="A67" s="29">
        <v>66</v>
      </c>
      <c r="B67" s="25" t="s">
        <v>546</v>
      </c>
      <c r="C67" s="29">
        <v>19</v>
      </c>
      <c r="D67" s="30" t="s">
        <v>663</v>
      </c>
      <c r="E67" s="31" t="s">
        <v>664</v>
      </c>
      <c r="F67" s="31" t="s">
        <v>430</v>
      </c>
      <c r="G67" s="31" t="s">
        <v>431</v>
      </c>
      <c r="H67" s="31" t="s">
        <v>665</v>
      </c>
      <c r="I67" s="31" t="s">
        <v>666</v>
      </c>
      <c r="J67" s="31" t="s">
        <v>667</v>
      </c>
      <c r="K67" s="31" t="s">
        <v>189</v>
      </c>
      <c r="L67" s="31" t="s">
        <v>668</v>
      </c>
      <c r="M67" s="31" t="s">
        <v>669</v>
      </c>
      <c r="N67" s="31" t="s">
        <v>670</v>
      </c>
      <c r="O67" s="32" t="s">
        <v>435</v>
      </c>
      <c r="P67" s="31" t="s">
        <v>671</v>
      </c>
      <c r="Q67" s="22" t="s">
        <v>437</v>
      </c>
      <c r="R67" s="16" t="s">
        <v>435</v>
      </c>
      <c r="S67" s="3"/>
      <c r="T67" s="3"/>
      <c r="U67" s="3"/>
      <c r="V67" s="3"/>
      <c r="W67" s="3"/>
      <c r="X67" s="3"/>
      <c r="Y67" s="3"/>
      <c r="Z67" s="3"/>
    </row>
    <row r="68" spans="1:26" ht="15.75" customHeight="1">
      <c r="A68" s="24">
        <v>67</v>
      </c>
      <c r="B68" s="25" t="s">
        <v>546</v>
      </c>
      <c r="C68" s="24">
        <v>22</v>
      </c>
      <c r="D68" s="26" t="s">
        <v>672</v>
      </c>
      <c r="E68" s="27" t="s">
        <v>673</v>
      </c>
      <c r="F68" s="27" t="s">
        <v>131</v>
      </c>
      <c r="G68" s="27" t="s">
        <v>132</v>
      </c>
      <c r="H68" s="27" t="s">
        <v>674</v>
      </c>
      <c r="I68" s="27" t="s">
        <v>675</v>
      </c>
      <c r="J68" s="27" t="s">
        <v>676</v>
      </c>
      <c r="K68" s="27" t="s">
        <v>135</v>
      </c>
      <c r="L68" s="27" t="s">
        <v>677</v>
      </c>
      <c r="M68" s="27" t="s">
        <v>678</v>
      </c>
      <c r="N68" s="27" t="s">
        <v>28</v>
      </c>
      <c r="O68" s="28" t="s">
        <v>137</v>
      </c>
      <c r="P68" s="27" t="s">
        <v>679</v>
      </c>
      <c r="Q68" s="15" t="s">
        <v>139</v>
      </c>
      <c r="R68" s="16" t="s">
        <v>140</v>
      </c>
      <c r="S68" s="3"/>
      <c r="T68" s="3"/>
      <c r="U68" s="3"/>
      <c r="V68" s="3"/>
      <c r="W68" s="3"/>
      <c r="X68" s="3"/>
      <c r="Y68" s="3"/>
      <c r="Z68" s="3"/>
    </row>
    <row r="69" spans="1:26" ht="15.75" customHeight="1">
      <c r="A69" s="29">
        <v>68</v>
      </c>
      <c r="B69" s="25" t="s">
        <v>546</v>
      </c>
      <c r="C69" s="29">
        <v>23</v>
      </c>
      <c r="D69" s="30" t="s">
        <v>680</v>
      </c>
      <c r="E69" s="31" t="s">
        <v>681</v>
      </c>
      <c r="F69" s="31" t="s">
        <v>682</v>
      </c>
      <c r="G69" s="31" t="s">
        <v>683</v>
      </c>
      <c r="H69" s="31" t="s">
        <v>684</v>
      </c>
      <c r="I69" s="31" t="s">
        <v>685</v>
      </c>
      <c r="J69" s="31" t="s">
        <v>686</v>
      </c>
      <c r="K69" s="31" t="s">
        <v>687</v>
      </c>
      <c r="L69" s="31" t="s">
        <v>688</v>
      </c>
      <c r="M69" s="31" t="s">
        <v>689</v>
      </c>
      <c r="N69" s="31" t="s">
        <v>690</v>
      </c>
      <c r="O69" s="32" t="s">
        <v>691</v>
      </c>
      <c r="P69" s="31" t="s">
        <v>692</v>
      </c>
      <c r="Q69" s="9" t="s">
        <v>31</v>
      </c>
      <c r="R69" s="10" t="s">
        <v>691</v>
      </c>
      <c r="S69" s="3"/>
      <c r="T69" s="3"/>
      <c r="U69" s="3"/>
      <c r="V69" s="3"/>
      <c r="W69" s="3"/>
      <c r="X69" s="3"/>
      <c r="Y69" s="3"/>
      <c r="Z69" s="3"/>
    </row>
    <row r="70" spans="1:26" ht="15.75" customHeight="1">
      <c r="A70" s="24">
        <v>69</v>
      </c>
      <c r="B70" s="25" t="s">
        <v>546</v>
      </c>
      <c r="C70" s="24">
        <v>24</v>
      </c>
      <c r="D70" s="26" t="s">
        <v>693</v>
      </c>
      <c r="E70" s="27" t="s">
        <v>694</v>
      </c>
      <c r="F70" s="27" t="s">
        <v>695</v>
      </c>
      <c r="G70" s="27" t="s">
        <v>651</v>
      </c>
      <c r="H70" s="27" t="s">
        <v>566</v>
      </c>
      <c r="I70" s="27" t="s">
        <v>696</v>
      </c>
      <c r="J70" s="27" t="s">
        <v>697</v>
      </c>
      <c r="K70" s="27" t="s">
        <v>698</v>
      </c>
      <c r="L70" s="27" t="s">
        <v>699</v>
      </c>
      <c r="M70" s="27" t="s">
        <v>28</v>
      </c>
      <c r="N70" s="27" t="s">
        <v>28</v>
      </c>
      <c r="O70" s="28" t="s">
        <v>700</v>
      </c>
      <c r="P70" s="27" t="s">
        <v>701</v>
      </c>
      <c r="Q70" s="20" t="s">
        <v>224</v>
      </c>
      <c r="R70" s="16" t="s">
        <v>700</v>
      </c>
      <c r="S70" s="3"/>
      <c r="T70" s="3"/>
      <c r="U70" s="3"/>
      <c r="V70" s="3"/>
      <c r="W70" s="3"/>
      <c r="X70" s="3"/>
      <c r="Y70" s="3"/>
      <c r="Z70" s="3"/>
    </row>
    <row r="71" spans="1:26" ht="15.75" customHeight="1">
      <c r="A71" s="29">
        <v>70</v>
      </c>
      <c r="B71" s="25" t="s">
        <v>546</v>
      </c>
      <c r="C71" s="29">
        <v>26</v>
      </c>
      <c r="D71" s="30" t="s">
        <v>702</v>
      </c>
      <c r="E71" s="31" t="s">
        <v>703</v>
      </c>
      <c r="F71" s="31" t="s">
        <v>704</v>
      </c>
      <c r="G71" s="31" t="s">
        <v>132</v>
      </c>
      <c r="H71" s="31" t="s">
        <v>556</v>
      </c>
      <c r="I71" s="31" t="s">
        <v>705</v>
      </c>
      <c r="J71" s="31" t="s">
        <v>706</v>
      </c>
      <c r="K71" s="31" t="s">
        <v>388</v>
      </c>
      <c r="L71" s="31" t="s">
        <v>707</v>
      </c>
      <c r="M71" s="31" t="s">
        <v>708</v>
      </c>
      <c r="N71" s="31" t="s">
        <v>709</v>
      </c>
      <c r="O71" s="32" t="s">
        <v>710</v>
      </c>
      <c r="P71" s="31" t="s">
        <v>711</v>
      </c>
      <c r="Q71" s="9" t="s">
        <v>31</v>
      </c>
      <c r="R71" s="10" t="s">
        <v>710</v>
      </c>
      <c r="S71" s="3"/>
      <c r="T71" s="3"/>
      <c r="U71" s="3"/>
      <c r="V71" s="3"/>
      <c r="W71" s="3"/>
      <c r="X71" s="3"/>
      <c r="Y71" s="3"/>
      <c r="Z71" s="3"/>
    </row>
    <row r="72" spans="1:26" ht="15.75" customHeight="1">
      <c r="A72" s="24">
        <v>71</v>
      </c>
      <c r="B72" s="25" t="s">
        <v>546</v>
      </c>
      <c r="C72" s="24">
        <v>27</v>
      </c>
      <c r="D72" s="26" t="s">
        <v>712</v>
      </c>
      <c r="E72" s="27" t="s">
        <v>713</v>
      </c>
      <c r="F72" s="27" t="s">
        <v>714</v>
      </c>
      <c r="G72" s="27" t="s">
        <v>715</v>
      </c>
      <c r="H72" s="27" t="s">
        <v>592</v>
      </c>
      <c r="I72" s="27" t="s">
        <v>716</v>
      </c>
      <c r="J72" s="27" t="s">
        <v>717</v>
      </c>
      <c r="K72" s="27" t="s">
        <v>103</v>
      </c>
      <c r="L72" s="27" t="s">
        <v>718</v>
      </c>
      <c r="M72" s="27" t="s">
        <v>719</v>
      </c>
      <c r="N72" s="27" t="s">
        <v>720</v>
      </c>
      <c r="O72" s="28" t="s">
        <v>721</v>
      </c>
      <c r="P72" s="27" t="s">
        <v>722</v>
      </c>
      <c r="Q72" s="34" t="s">
        <v>723</v>
      </c>
      <c r="R72" s="16" t="s">
        <v>721</v>
      </c>
      <c r="S72" s="3"/>
      <c r="T72" s="3"/>
      <c r="U72" s="3"/>
      <c r="V72" s="3"/>
      <c r="W72" s="3"/>
      <c r="X72" s="3"/>
      <c r="Y72" s="3"/>
      <c r="Z72" s="3"/>
    </row>
    <row r="73" spans="1:26" ht="15.75" customHeight="1">
      <c r="A73" s="29">
        <v>72</v>
      </c>
      <c r="B73" s="25" t="s">
        <v>546</v>
      </c>
      <c r="C73" s="29">
        <v>28</v>
      </c>
      <c r="D73" s="30" t="s">
        <v>724</v>
      </c>
      <c r="E73" s="31" t="s">
        <v>725</v>
      </c>
      <c r="F73" s="31" t="s">
        <v>726</v>
      </c>
      <c r="G73" s="31" t="s">
        <v>641</v>
      </c>
      <c r="H73" s="31" t="s">
        <v>684</v>
      </c>
      <c r="I73" s="31" t="s">
        <v>727</v>
      </c>
      <c r="J73" s="31" t="s">
        <v>728</v>
      </c>
      <c r="K73" s="31" t="s">
        <v>94</v>
      </c>
      <c r="L73" s="31" t="s">
        <v>729</v>
      </c>
      <c r="M73" s="31" t="s">
        <v>730</v>
      </c>
      <c r="N73" s="31" t="s">
        <v>731</v>
      </c>
      <c r="O73" s="32" t="s">
        <v>732</v>
      </c>
      <c r="P73" s="31" t="s">
        <v>733</v>
      </c>
      <c r="Q73" s="9" t="s">
        <v>31</v>
      </c>
      <c r="R73" s="10" t="s">
        <v>732</v>
      </c>
      <c r="S73" s="3"/>
      <c r="T73" s="3"/>
      <c r="U73" s="3"/>
      <c r="V73" s="3"/>
      <c r="W73" s="3"/>
      <c r="X73" s="3"/>
      <c r="Y73" s="3"/>
      <c r="Z73" s="3"/>
    </row>
    <row r="74" spans="1:26" ht="15.75" customHeight="1">
      <c r="A74" s="24">
        <v>73</v>
      </c>
      <c r="B74" s="25" t="s">
        <v>546</v>
      </c>
      <c r="C74" s="24">
        <v>30</v>
      </c>
      <c r="D74" s="26" t="s">
        <v>734</v>
      </c>
      <c r="E74" s="27" t="s">
        <v>735</v>
      </c>
      <c r="F74" s="27" t="s">
        <v>736</v>
      </c>
      <c r="G74" s="27" t="s">
        <v>737</v>
      </c>
      <c r="H74" s="27" t="s">
        <v>556</v>
      </c>
      <c r="I74" s="27" t="s">
        <v>738</v>
      </c>
      <c r="J74" s="27" t="s">
        <v>739</v>
      </c>
      <c r="K74" s="27" t="s">
        <v>388</v>
      </c>
      <c r="L74" s="27" t="s">
        <v>740</v>
      </c>
      <c r="M74" s="27" t="s">
        <v>28</v>
      </c>
      <c r="N74" s="27" t="s">
        <v>741</v>
      </c>
      <c r="O74" s="28" t="s">
        <v>742</v>
      </c>
      <c r="P74" s="27" t="s">
        <v>743</v>
      </c>
      <c r="Q74" s="15" t="s">
        <v>139</v>
      </c>
      <c r="R74" s="16" t="s">
        <v>742</v>
      </c>
      <c r="S74" s="3"/>
      <c r="T74" s="3"/>
      <c r="U74" s="3"/>
      <c r="V74" s="3"/>
      <c r="W74" s="3"/>
      <c r="X74" s="3"/>
      <c r="Y74" s="3"/>
      <c r="Z74" s="3"/>
    </row>
    <row r="75" spans="1:26" ht="15.75" customHeight="1">
      <c r="A75" s="29">
        <v>74</v>
      </c>
      <c r="B75" s="25" t="s">
        <v>546</v>
      </c>
      <c r="C75" s="29">
        <v>34</v>
      </c>
      <c r="D75" s="30" t="s">
        <v>744</v>
      </c>
      <c r="E75" s="31" t="s">
        <v>745</v>
      </c>
      <c r="F75" s="31" t="s">
        <v>266</v>
      </c>
      <c r="G75" s="31" t="s">
        <v>132</v>
      </c>
      <c r="H75" s="31" t="s">
        <v>556</v>
      </c>
      <c r="I75" s="31" t="s">
        <v>746</v>
      </c>
      <c r="J75" s="31" t="s">
        <v>747</v>
      </c>
      <c r="K75" s="31" t="s">
        <v>269</v>
      </c>
      <c r="L75" s="31" t="s">
        <v>147</v>
      </c>
      <c r="M75" s="31" t="s">
        <v>748</v>
      </c>
      <c r="N75" s="31" t="s">
        <v>749</v>
      </c>
      <c r="O75" s="32" t="s">
        <v>271</v>
      </c>
      <c r="P75" s="31" t="s">
        <v>750</v>
      </c>
      <c r="Q75" s="15" t="s">
        <v>139</v>
      </c>
      <c r="R75" s="16" t="s">
        <v>273</v>
      </c>
      <c r="S75" s="3"/>
      <c r="T75" s="3"/>
      <c r="U75" s="3"/>
      <c r="V75" s="3"/>
      <c r="W75" s="3"/>
      <c r="X75" s="3"/>
      <c r="Y75" s="3"/>
      <c r="Z75" s="3"/>
    </row>
    <row r="76" spans="1:26" ht="15.75" customHeight="1">
      <c r="A76" s="24">
        <v>75</v>
      </c>
      <c r="B76" s="25" t="s">
        <v>546</v>
      </c>
      <c r="C76" s="24">
        <v>35</v>
      </c>
      <c r="D76" s="26" t="s">
        <v>751</v>
      </c>
      <c r="E76" s="27" t="s">
        <v>752</v>
      </c>
      <c r="F76" s="27" t="s">
        <v>753</v>
      </c>
      <c r="G76" s="27" t="s">
        <v>754</v>
      </c>
      <c r="H76" s="27" t="s">
        <v>630</v>
      </c>
      <c r="I76" s="27" t="s">
        <v>755</v>
      </c>
      <c r="J76" s="27" t="s">
        <v>756</v>
      </c>
      <c r="K76" s="27" t="s">
        <v>757</v>
      </c>
      <c r="L76" s="27" t="s">
        <v>758</v>
      </c>
      <c r="M76" s="27" t="s">
        <v>759</v>
      </c>
      <c r="N76" s="27" t="s">
        <v>760</v>
      </c>
      <c r="O76" s="28" t="s">
        <v>761</v>
      </c>
      <c r="P76" s="27" t="s">
        <v>762</v>
      </c>
      <c r="Q76" s="9" t="s">
        <v>31</v>
      </c>
      <c r="R76" s="10" t="s">
        <v>761</v>
      </c>
      <c r="S76" s="3"/>
      <c r="T76" s="3"/>
      <c r="U76" s="3"/>
      <c r="V76" s="3"/>
      <c r="W76" s="3"/>
      <c r="X76" s="3"/>
      <c r="Y76" s="3"/>
      <c r="Z76" s="3"/>
    </row>
    <row r="77" spans="1:26" ht="15.75" customHeight="1">
      <c r="A77" s="29">
        <v>76</v>
      </c>
      <c r="B77" s="25" t="s">
        <v>546</v>
      </c>
      <c r="C77" s="29">
        <v>36</v>
      </c>
      <c r="D77" s="30" t="s">
        <v>77</v>
      </c>
      <c r="E77" s="31" t="s">
        <v>763</v>
      </c>
      <c r="F77" s="31" t="s">
        <v>764</v>
      </c>
      <c r="G77" s="31" t="s">
        <v>80</v>
      </c>
      <c r="H77" s="31" t="s">
        <v>630</v>
      </c>
      <c r="I77" s="31" t="s">
        <v>81</v>
      </c>
      <c r="J77" s="31" t="s">
        <v>765</v>
      </c>
      <c r="K77" s="31" t="s">
        <v>83</v>
      </c>
      <c r="L77" s="31" t="s">
        <v>766</v>
      </c>
      <c r="M77" s="31" t="s">
        <v>767</v>
      </c>
      <c r="N77" s="31" t="s">
        <v>768</v>
      </c>
      <c r="O77" s="32" t="s">
        <v>86</v>
      </c>
      <c r="P77" s="31" t="s">
        <v>769</v>
      </c>
      <c r="Q77" s="9" t="s">
        <v>31</v>
      </c>
      <c r="R77" s="10" t="s">
        <v>86</v>
      </c>
      <c r="S77" s="3"/>
      <c r="T77" s="3"/>
      <c r="U77" s="3"/>
      <c r="V77" s="3"/>
      <c r="W77" s="3"/>
      <c r="X77" s="3"/>
      <c r="Y77" s="3"/>
      <c r="Z77" s="3"/>
    </row>
    <row r="78" spans="1:26" ht="15.75" customHeight="1">
      <c r="A78" s="24">
        <v>77</v>
      </c>
      <c r="B78" s="25" t="s">
        <v>546</v>
      </c>
      <c r="C78" s="24">
        <v>37</v>
      </c>
      <c r="D78" s="26" t="s">
        <v>770</v>
      </c>
      <c r="E78" s="27" t="s">
        <v>771</v>
      </c>
      <c r="F78" s="27" t="s">
        <v>288</v>
      </c>
      <c r="G78" s="27" t="s">
        <v>132</v>
      </c>
      <c r="H78" s="27" t="s">
        <v>556</v>
      </c>
      <c r="I78" s="27" t="s">
        <v>289</v>
      </c>
      <c r="J78" s="27" t="s">
        <v>772</v>
      </c>
      <c r="K78" s="27" t="s">
        <v>291</v>
      </c>
      <c r="L78" s="27" t="s">
        <v>773</v>
      </c>
      <c r="M78" s="27" t="s">
        <v>774</v>
      </c>
      <c r="N78" s="27" t="s">
        <v>294</v>
      </c>
      <c r="O78" s="28" t="s">
        <v>295</v>
      </c>
      <c r="P78" s="27" t="s">
        <v>775</v>
      </c>
      <c r="Q78" s="15" t="s">
        <v>139</v>
      </c>
      <c r="R78" s="16" t="s">
        <v>297</v>
      </c>
      <c r="S78" s="3"/>
      <c r="T78" s="3"/>
      <c r="U78" s="3"/>
      <c r="V78" s="3"/>
      <c r="W78" s="3"/>
      <c r="X78" s="3"/>
      <c r="Y78" s="3"/>
      <c r="Z78" s="3"/>
    </row>
    <row r="79" spans="1:26" ht="15.75" customHeight="1">
      <c r="A79" s="29">
        <v>78</v>
      </c>
      <c r="B79" s="25" t="s">
        <v>546</v>
      </c>
      <c r="C79" s="29">
        <v>39</v>
      </c>
      <c r="D79" s="30" t="s">
        <v>776</v>
      </c>
      <c r="E79" s="31" t="s">
        <v>777</v>
      </c>
      <c r="F79" s="31" t="s">
        <v>778</v>
      </c>
      <c r="G79" s="31" t="s">
        <v>132</v>
      </c>
      <c r="H79" s="31" t="s">
        <v>566</v>
      </c>
      <c r="I79" s="31" t="s">
        <v>779</v>
      </c>
      <c r="J79" s="31" t="s">
        <v>780</v>
      </c>
      <c r="K79" s="31" t="s">
        <v>422</v>
      </c>
      <c r="L79" s="31" t="s">
        <v>781</v>
      </c>
      <c r="M79" s="31" t="s">
        <v>782</v>
      </c>
      <c r="N79" s="31" t="s">
        <v>783</v>
      </c>
      <c r="O79" s="32" t="s">
        <v>784</v>
      </c>
      <c r="P79" s="31" t="s">
        <v>785</v>
      </c>
      <c r="Q79" s="9" t="s">
        <v>31</v>
      </c>
      <c r="R79" s="10" t="s">
        <v>784</v>
      </c>
      <c r="S79" s="3"/>
      <c r="T79" s="3"/>
      <c r="U79" s="3"/>
      <c r="V79" s="3"/>
      <c r="W79" s="3"/>
      <c r="X79" s="3"/>
      <c r="Y79" s="3"/>
      <c r="Z79" s="3"/>
    </row>
    <row r="80" spans="1:26" ht="15.75" customHeight="1">
      <c r="A80" s="24">
        <v>79</v>
      </c>
      <c r="B80" s="25" t="s">
        <v>546</v>
      </c>
      <c r="C80" s="24">
        <v>40</v>
      </c>
      <c r="D80" s="26" t="s">
        <v>786</v>
      </c>
      <c r="E80" s="27" t="s">
        <v>787</v>
      </c>
      <c r="F80" s="27" t="s">
        <v>788</v>
      </c>
      <c r="G80" s="27" t="s">
        <v>641</v>
      </c>
      <c r="H80" s="27" t="s">
        <v>789</v>
      </c>
      <c r="I80" s="27" t="s">
        <v>603</v>
      </c>
      <c r="J80" s="27" t="s">
        <v>790</v>
      </c>
      <c r="K80" s="27" t="s">
        <v>94</v>
      </c>
      <c r="L80" s="27" t="s">
        <v>791</v>
      </c>
      <c r="M80" s="27" t="s">
        <v>792</v>
      </c>
      <c r="N80" s="27" t="s">
        <v>793</v>
      </c>
      <c r="O80" s="28" t="s">
        <v>794</v>
      </c>
      <c r="P80" s="27" t="s">
        <v>795</v>
      </c>
      <c r="Q80" s="20" t="s">
        <v>224</v>
      </c>
      <c r="R80" s="16" t="s">
        <v>794</v>
      </c>
      <c r="S80" s="3"/>
      <c r="T80" s="3"/>
      <c r="U80" s="3"/>
      <c r="V80" s="3"/>
      <c r="W80" s="3"/>
      <c r="X80" s="3"/>
      <c r="Y80" s="3"/>
      <c r="Z80" s="3"/>
    </row>
    <row r="81" spans="1:26" ht="15.75" customHeight="1">
      <c r="A81" s="29">
        <v>80</v>
      </c>
      <c r="B81" s="25" t="s">
        <v>546</v>
      </c>
      <c r="C81" s="29">
        <v>42</v>
      </c>
      <c r="D81" s="30" t="s">
        <v>796</v>
      </c>
      <c r="E81" s="31" t="s">
        <v>797</v>
      </c>
      <c r="F81" s="31" t="s">
        <v>153</v>
      </c>
      <c r="G81" s="31" t="s">
        <v>132</v>
      </c>
      <c r="H81" s="31" t="s">
        <v>665</v>
      </c>
      <c r="I81" s="31" t="s">
        <v>154</v>
      </c>
      <c r="J81" s="31" t="s">
        <v>798</v>
      </c>
      <c r="K81" s="31" t="s">
        <v>168</v>
      </c>
      <c r="L81" s="31" t="s">
        <v>799</v>
      </c>
      <c r="M81" s="31" t="s">
        <v>28</v>
      </c>
      <c r="N81" s="31" t="s">
        <v>800</v>
      </c>
      <c r="O81" s="32" t="s">
        <v>159</v>
      </c>
      <c r="P81" s="31" t="s">
        <v>801</v>
      </c>
      <c r="Q81" s="17" t="s">
        <v>161</v>
      </c>
      <c r="R81" s="16" t="s">
        <v>162</v>
      </c>
      <c r="S81" s="3"/>
      <c r="T81" s="3"/>
      <c r="U81" s="3"/>
      <c r="V81" s="3"/>
      <c r="W81" s="3"/>
      <c r="X81" s="3"/>
      <c r="Y81" s="3"/>
      <c r="Z81" s="3"/>
    </row>
    <row r="82" spans="1:26" ht="15.75" customHeight="1">
      <c r="A82" s="24">
        <v>81</v>
      </c>
      <c r="B82" s="25" t="s">
        <v>546</v>
      </c>
      <c r="C82" s="24">
        <v>44</v>
      </c>
      <c r="D82" s="26" t="s">
        <v>802</v>
      </c>
      <c r="E82" s="27" t="s">
        <v>803</v>
      </c>
      <c r="F82" s="27" t="s">
        <v>804</v>
      </c>
      <c r="G82" s="27" t="s">
        <v>132</v>
      </c>
      <c r="H82" s="27" t="s">
        <v>592</v>
      </c>
      <c r="I82" s="27" t="s">
        <v>805</v>
      </c>
      <c r="J82" s="27" t="s">
        <v>806</v>
      </c>
      <c r="K82" s="27" t="s">
        <v>807</v>
      </c>
      <c r="L82" s="27" t="s">
        <v>808</v>
      </c>
      <c r="M82" s="27" t="s">
        <v>28</v>
      </c>
      <c r="N82" s="27" t="s">
        <v>809</v>
      </c>
      <c r="O82" s="28" t="s">
        <v>810</v>
      </c>
      <c r="P82" s="27" t="s">
        <v>811</v>
      </c>
      <c r="Q82" s="9" t="s">
        <v>31</v>
      </c>
      <c r="R82" s="10" t="s">
        <v>810</v>
      </c>
      <c r="S82" s="3"/>
      <c r="T82" s="3"/>
      <c r="U82" s="3"/>
      <c r="V82" s="3"/>
      <c r="W82" s="3"/>
      <c r="X82" s="3"/>
      <c r="Y82" s="3"/>
      <c r="Z82" s="3"/>
    </row>
    <row r="83" spans="1:26" ht="15.75" customHeight="1">
      <c r="A83" s="29">
        <v>82</v>
      </c>
      <c r="B83" s="25" t="s">
        <v>546</v>
      </c>
      <c r="C83" s="29">
        <v>46</v>
      </c>
      <c r="D83" s="30" t="s">
        <v>812</v>
      </c>
      <c r="E83" s="31" t="s">
        <v>813</v>
      </c>
      <c r="F83" s="31" t="s">
        <v>814</v>
      </c>
      <c r="G83" s="31" t="s">
        <v>132</v>
      </c>
      <c r="H83" s="31" t="s">
        <v>684</v>
      </c>
      <c r="I83" s="31" t="s">
        <v>815</v>
      </c>
      <c r="J83" s="31" t="s">
        <v>816</v>
      </c>
      <c r="K83" s="31" t="s">
        <v>505</v>
      </c>
      <c r="L83" s="31" t="s">
        <v>84</v>
      </c>
      <c r="M83" s="31" t="s">
        <v>817</v>
      </c>
      <c r="N83" s="31" t="s">
        <v>28</v>
      </c>
      <c r="O83" s="32" t="s">
        <v>818</v>
      </c>
      <c r="P83" s="31" t="s">
        <v>819</v>
      </c>
      <c r="Q83" s="15" t="s">
        <v>139</v>
      </c>
      <c r="R83" s="16" t="s">
        <v>820</v>
      </c>
      <c r="S83" s="3"/>
      <c r="T83" s="3"/>
      <c r="U83" s="3"/>
      <c r="V83" s="3"/>
      <c r="W83" s="3"/>
      <c r="X83" s="3"/>
      <c r="Y83" s="3"/>
      <c r="Z83" s="3"/>
    </row>
    <row r="84" spans="1:26" ht="15.75" customHeight="1">
      <c r="A84" s="24">
        <v>83</v>
      </c>
      <c r="B84" s="25" t="s">
        <v>546</v>
      </c>
      <c r="C84" s="24">
        <v>48</v>
      </c>
      <c r="D84" s="26" t="s">
        <v>821</v>
      </c>
      <c r="E84" s="27" t="s">
        <v>822</v>
      </c>
      <c r="F84" s="27" t="s">
        <v>823</v>
      </c>
      <c r="G84" s="27" t="s">
        <v>641</v>
      </c>
      <c r="H84" s="27" t="s">
        <v>684</v>
      </c>
      <c r="I84" s="27" t="s">
        <v>603</v>
      </c>
      <c r="J84" s="27" t="s">
        <v>824</v>
      </c>
      <c r="K84" s="27" t="s">
        <v>28</v>
      </c>
      <c r="L84" s="27" t="s">
        <v>38</v>
      </c>
      <c r="M84" s="27" t="s">
        <v>28</v>
      </c>
      <c r="N84" s="27" t="s">
        <v>28</v>
      </c>
      <c r="O84" s="28" t="s">
        <v>825</v>
      </c>
      <c r="P84" s="27" t="s">
        <v>826</v>
      </c>
      <c r="Q84" s="9" t="s">
        <v>31</v>
      </c>
      <c r="R84" s="10" t="s">
        <v>825</v>
      </c>
      <c r="S84" s="3"/>
      <c r="T84" s="3"/>
      <c r="U84" s="3"/>
      <c r="V84" s="3"/>
      <c r="W84" s="3"/>
      <c r="X84" s="3"/>
      <c r="Y84" s="3"/>
      <c r="Z84" s="3"/>
    </row>
    <row r="85" spans="1:26" ht="15.75" customHeight="1">
      <c r="A85" s="29">
        <v>84</v>
      </c>
      <c r="B85" s="25" t="s">
        <v>546</v>
      </c>
      <c r="C85" s="29">
        <v>50</v>
      </c>
      <c r="D85" s="30" t="s">
        <v>827</v>
      </c>
      <c r="E85" s="31" t="s">
        <v>828</v>
      </c>
      <c r="F85" s="31" t="s">
        <v>829</v>
      </c>
      <c r="G85" s="31" t="s">
        <v>132</v>
      </c>
      <c r="H85" s="31" t="s">
        <v>630</v>
      </c>
      <c r="I85" s="31" t="s">
        <v>830</v>
      </c>
      <c r="J85" s="31" t="s">
        <v>831</v>
      </c>
      <c r="K85" s="31" t="s">
        <v>168</v>
      </c>
      <c r="L85" s="31" t="s">
        <v>832</v>
      </c>
      <c r="M85" s="31" t="s">
        <v>28</v>
      </c>
      <c r="N85" s="31" t="s">
        <v>833</v>
      </c>
      <c r="O85" s="32" t="s">
        <v>834</v>
      </c>
      <c r="P85" s="31" t="s">
        <v>835</v>
      </c>
      <c r="Q85" s="15" t="s">
        <v>139</v>
      </c>
      <c r="R85" s="16" t="s">
        <v>836</v>
      </c>
      <c r="S85" s="3"/>
      <c r="T85" s="3"/>
      <c r="U85" s="3"/>
      <c r="V85" s="3"/>
      <c r="W85" s="3"/>
      <c r="X85" s="3"/>
      <c r="Y85" s="3"/>
      <c r="Z85" s="3"/>
    </row>
    <row r="86" spans="1:26" ht="15.75" customHeight="1">
      <c r="A86" s="24">
        <v>85</v>
      </c>
      <c r="B86" s="25" t="s">
        <v>546</v>
      </c>
      <c r="C86" s="24">
        <v>53</v>
      </c>
      <c r="D86" s="26" t="s">
        <v>405</v>
      </c>
      <c r="E86" s="27" t="s">
        <v>406</v>
      </c>
      <c r="F86" s="27" t="s">
        <v>407</v>
      </c>
      <c r="G86" s="27" t="s">
        <v>408</v>
      </c>
      <c r="H86" s="27" t="s">
        <v>674</v>
      </c>
      <c r="I86" s="27" t="s">
        <v>837</v>
      </c>
      <c r="J86" s="27" t="s">
        <v>838</v>
      </c>
      <c r="K86" s="27" t="s">
        <v>411</v>
      </c>
      <c r="L86" s="27" t="s">
        <v>839</v>
      </c>
      <c r="M86" s="27" t="s">
        <v>28</v>
      </c>
      <c r="N86" s="27" t="s">
        <v>28</v>
      </c>
      <c r="O86" s="28" t="s">
        <v>413</v>
      </c>
      <c r="P86" s="27" t="s">
        <v>840</v>
      </c>
      <c r="Q86" s="15" t="s">
        <v>139</v>
      </c>
      <c r="R86" s="16" t="s">
        <v>415</v>
      </c>
      <c r="S86" s="3"/>
      <c r="T86" s="3"/>
      <c r="U86" s="3"/>
      <c r="V86" s="3"/>
      <c r="W86" s="3"/>
      <c r="X86" s="3"/>
      <c r="Y86" s="3"/>
      <c r="Z86" s="3"/>
    </row>
    <row r="87" spans="1:26" ht="15.75" customHeight="1">
      <c r="A87" s="29">
        <v>86</v>
      </c>
      <c r="B87" s="25" t="s">
        <v>546</v>
      </c>
      <c r="C87" s="29">
        <v>61</v>
      </c>
      <c r="D87" s="30" t="s">
        <v>841</v>
      </c>
      <c r="E87" s="31" t="s">
        <v>842</v>
      </c>
      <c r="F87" s="31" t="s">
        <v>843</v>
      </c>
      <c r="G87" s="31" t="s">
        <v>374</v>
      </c>
      <c r="H87" s="31" t="s">
        <v>556</v>
      </c>
      <c r="I87" s="31" t="s">
        <v>603</v>
      </c>
      <c r="J87" s="31" t="s">
        <v>614</v>
      </c>
      <c r="K87" s="31" t="s">
        <v>844</v>
      </c>
      <c r="L87" s="31" t="s">
        <v>845</v>
      </c>
      <c r="M87" s="31" t="s">
        <v>846</v>
      </c>
      <c r="N87" s="31" t="s">
        <v>847</v>
      </c>
      <c r="O87" s="32" t="s">
        <v>848</v>
      </c>
      <c r="P87" s="31" t="s">
        <v>849</v>
      </c>
      <c r="Q87" s="9" t="s">
        <v>31</v>
      </c>
      <c r="R87" s="10" t="s">
        <v>848</v>
      </c>
      <c r="S87" s="3"/>
      <c r="T87" s="3"/>
      <c r="U87" s="3"/>
      <c r="V87" s="3"/>
      <c r="W87" s="3"/>
      <c r="X87" s="3"/>
      <c r="Y87" s="3"/>
      <c r="Z87" s="3"/>
    </row>
    <row r="88" spans="1:26" ht="15.75" customHeight="1">
      <c r="A88" s="24">
        <v>87</v>
      </c>
      <c r="B88" s="25" t="s">
        <v>546</v>
      </c>
      <c r="C88" s="24">
        <v>64</v>
      </c>
      <c r="D88" s="26" t="s">
        <v>850</v>
      </c>
      <c r="E88" s="27" t="s">
        <v>851</v>
      </c>
      <c r="F88" s="27" t="s">
        <v>852</v>
      </c>
      <c r="G88" s="27" t="s">
        <v>374</v>
      </c>
      <c r="H88" s="27" t="s">
        <v>684</v>
      </c>
      <c r="I88" s="27" t="s">
        <v>603</v>
      </c>
      <c r="J88" s="27" t="s">
        <v>853</v>
      </c>
      <c r="K88" s="27" t="s">
        <v>559</v>
      </c>
      <c r="L88" s="27" t="s">
        <v>854</v>
      </c>
      <c r="M88" s="27" t="s">
        <v>855</v>
      </c>
      <c r="N88" s="27" t="s">
        <v>856</v>
      </c>
      <c r="O88" s="28" t="s">
        <v>857</v>
      </c>
      <c r="P88" s="27" t="s">
        <v>858</v>
      </c>
      <c r="Q88" s="9" t="s">
        <v>31</v>
      </c>
      <c r="R88" s="10" t="s">
        <v>857</v>
      </c>
      <c r="S88" s="3"/>
      <c r="T88" s="3"/>
      <c r="U88" s="3"/>
      <c r="V88" s="3"/>
      <c r="W88" s="3"/>
      <c r="X88" s="3"/>
      <c r="Y88" s="3"/>
      <c r="Z88" s="3"/>
    </row>
    <row r="89" spans="1:26" ht="15.75" customHeight="1">
      <c r="A89" s="29">
        <v>88</v>
      </c>
      <c r="B89" s="25" t="s">
        <v>546</v>
      </c>
      <c r="C89" s="29">
        <v>66</v>
      </c>
      <c r="D89" s="30" t="s">
        <v>859</v>
      </c>
      <c r="E89" s="31" t="s">
        <v>860</v>
      </c>
      <c r="F89" s="31" t="s">
        <v>861</v>
      </c>
      <c r="G89" s="31" t="s">
        <v>374</v>
      </c>
      <c r="H89" s="31" t="s">
        <v>556</v>
      </c>
      <c r="I89" s="31" t="s">
        <v>603</v>
      </c>
      <c r="J89" s="31" t="s">
        <v>862</v>
      </c>
      <c r="K89" s="31" t="s">
        <v>146</v>
      </c>
      <c r="L89" s="31" t="s">
        <v>863</v>
      </c>
      <c r="M89" s="31" t="s">
        <v>864</v>
      </c>
      <c r="N89" s="31" t="s">
        <v>865</v>
      </c>
      <c r="O89" s="32" t="s">
        <v>866</v>
      </c>
      <c r="P89" s="31" t="s">
        <v>867</v>
      </c>
      <c r="Q89" s="9" t="s">
        <v>31</v>
      </c>
      <c r="R89" s="10" t="s">
        <v>866</v>
      </c>
      <c r="S89" s="3"/>
      <c r="T89" s="3"/>
      <c r="U89" s="3"/>
      <c r="V89" s="3"/>
      <c r="W89" s="3"/>
      <c r="X89" s="3"/>
      <c r="Y89" s="3"/>
      <c r="Z89" s="3"/>
    </row>
    <row r="90" spans="1:26" ht="15.75" customHeight="1">
      <c r="A90" s="35"/>
      <c r="B90" s="36" t="s">
        <v>224</v>
      </c>
      <c r="C90" s="37">
        <v>1</v>
      </c>
      <c r="D90" s="38">
        <v>1</v>
      </c>
      <c r="E90" s="39" t="s">
        <v>868</v>
      </c>
      <c r="F90" s="39" t="s">
        <v>869</v>
      </c>
      <c r="G90" s="39" t="s">
        <v>870</v>
      </c>
      <c r="H90" s="39" t="s">
        <v>556</v>
      </c>
      <c r="I90" s="39" t="s">
        <v>871</v>
      </c>
      <c r="J90" s="39" t="s">
        <v>872</v>
      </c>
      <c r="K90" s="39" t="s">
        <v>873</v>
      </c>
      <c r="L90" s="39" t="s">
        <v>874</v>
      </c>
      <c r="M90" s="40"/>
      <c r="N90" s="40"/>
      <c r="O90" s="40"/>
      <c r="P90" s="39" t="s">
        <v>875</v>
      </c>
      <c r="Q90" s="41"/>
      <c r="R90" s="42" t="s">
        <v>876</v>
      </c>
      <c r="S90" s="43"/>
      <c r="T90" s="43"/>
      <c r="U90" s="43"/>
      <c r="V90" s="43"/>
      <c r="W90" s="43"/>
      <c r="X90" s="43"/>
      <c r="Y90" s="43"/>
      <c r="Z90" s="43"/>
    </row>
    <row r="91" spans="1:26" ht="15.75" customHeight="1">
      <c r="A91" s="44"/>
      <c r="B91" s="45" t="s">
        <v>224</v>
      </c>
      <c r="C91" s="46">
        <v>2</v>
      </c>
      <c r="D91" s="47" t="s">
        <v>877</v>
      </c>
      <c r="E91" s="48" t="s">
        <v>878</v>
      </c>
      <c r="F91" s="48" t="s">
        <v>879</v>
      </c>
      <c r="G91" s="48" t="s">
        <v>35</v>
      </c>
      <c r="H91" s="48" t="s">
        <v>547</v>
      </c>
      <c r="I91" s="48" t="s">
        <v>880</v>
      </c>
      <c r="J91" s="48" t="s">
        <v>881</v>
      </c>
      <c r="K91" s="48" t="s">
        <v>514</v>
      </c>
      <c r="L91" s="48" t="s">
        <v>882</v>
      </c>
      <c r="M91" s="44"/>
      <c r="N91" s="44"/>
      <c r="O91" s="44"/>
      <c r="P91" s="48" t="s">
        <v>883</v>
      </c>
      <c r="Q91" s="44"/>
      <c r="R91" s="49" t="s">
        <v>884</v>
      </c>
      <c r="S91" s="3"/>
      <c r="T91" s="3"/>
      <c r="U91" s="3"/>
      <c r="V91" s="3"/>
      <c r="W91" s="3"/>
      <c r="X91" s="3"/>
      <c r="Y91" s="3"/>
      <c r="Z91" s="3"/>
    </row>
    <row r="92" spans="1:26" ht="15.75" customHeight="1">
      <c r="A92" s="50"/>
      <c r="B92" s="45" t="s">
        <v>224</v>
      </c>
      <c r="C92" s="37">
        <v>3</v>
      </c>
      <c r="D92" s="38" t="s">
        <v>527</v>
      </c>
      <c r="E92" s="39" t="s">
        <v>885</v>
      </c>
      <c r="F92" s="39" t="s">
        <v>886</v>
      </c>
      <c r="G92" s="39" t="s">
        <v>477</v>
      </c>
      <c r="H92" s="39" t="s">
        <v>547</v>
      </c>
      <c r="I92" s="39" t="s">
        <v>887</v>
      </c>
      <c r="J92" s="39" t="s">
        <v>888</v>
      </c>
      <c r="K92" s="39" t="s">
        <v>168</v>
      </c>
      <c r="L92" s="39" t="s">
        <v>889</v>
      </c>
      <c r="M92" s="40" t="s">
        <v>550</v>
      </c>
      <c r="N92" s="40" t="s">
        <v>533</v>
      </c>
      <c r="O92" s="51" t="s">
        <v>534</v>
      </c>
      <c r="P92" s="39" t="s">
        <v>890</v>
      </c>
      <c r="Q92" s="52" t="s">
        <v>224</v>
      </c>
      <c r="R92" s="53" t="s">
        <v>536</v>
      </c>
      <c r="S92" s="43"/>
      <c r="T92" s="43"/>
      <c r="U92" s="43"/>
      <c r="V92" s="43"/>
      <c r="W92" s="43"/>
      <c r="X92" s="43"/>
      <c r="Y92" s="43"/>
      <c r="Z92" s="43"/>
    </row>
    <row r="93" spans="1:26" ht="15.75" customHeight="1">
      <c r="A93" s="44"/>
      <c r="B93" s="45" t="s">
        <v>224</v>
      </c>
      <c r="C93" s="46">
        <v>4</v>
      </c>
      <c r="D93" s="47" t="s">
        <v>588</v>
      </c>
      <c r="E93" s="48" t="s">
        <v>891</v>
      </c>
      <c r="F93" s="48" t="s">
        <v>590</v>
      </c>
      <c r="G93" s="48" t="s">
        <v>591</v>
      </c>
      <c r="H93" s="48" t="s">
        <v>592</v>
      </c>
      <c r="I93" s="48" t="s">
        <v>892</v>
      </c>
      <c r="J93" s="48" t="s">
        <v>893</v>
      </c>
      <c r="K93" s="48" t="s">
        <v>398</v>
      </c>
      <c r="L93" s="48" t="s">
        <v>894</v>
      </c>
      <c r="M93" s="44"/>
      <c r="N93" s="44"/>
      <c r="O93" s="44"/>
      <c r="P93" s="48" t="s">
        <v>895</v>
      </c>
      <c r="Q93" s="44"/>
      <c r="R93" s="54" t="s">
        <v>896</v>
      </c>
      <c r="S93" s="3"/>
      <c r="T93" s="3"/>
      <c r="U93" s="3"/>
      <c r="V93" s="3"/>
      <c r="W93" s="3"/>
      <c r="X93" s="3"/>
      <c r="Y93" s="3"/>
      <c r="Z93" s="3"/>
    </row>
    <row r="94" spans="1:26" ht="15.75" customHeight="1">
      <c r="A94" s="50"/>
      <c r="B94" s="36" t="s">
        <v>224</v>
      </c>
      <c r="C94" s="37">
        <v>5</v>
      </c>
      <c r="D94" s="38">
        <v>5</v>
      </c>
      <c r="E94" s="39" t="s">
        <v>897</v>
      </c>
      <c r="F94" s="39" t="s">
        <v>898</v>
      </c>
      <c r="G94" s="39" t="s">
        <v>870</v>
      </c>
      <c r="H94" s="39" t="s">
        <v>556</v>
      </c>
      <c r="I94" s="39" t="s">
        <v>899</v>
      </c>
      <c r="J94" s="39" t="s">
        <v>900</v>
      </c>
      <c r="K94" s="39" t="s">
        <v>505</v>
      </c>
      <c r="L94" s="39" t="s">
        <v>901</v>
      </c>
      <c r="M94" s="50"/>
      <c r="N94" s="50"/>
      <c r="O94" s="50"/>
      <c r="P94" s="39" t="s">
        <v>902</v>
      </c>
      <c r="Q94" s="50"/>
      <c r="R94" s="42" t="s">
        <v>656</v>
      </c>
      <c r="S94" s="43"/>
      <c r="T94" s="43"/>
      <c r="U94" s="43"/>
      <c r="V94" s="43"/>
      <c r="W94" s="43"/>
      <c r="X94" s="43"/>
      <c r="Y94" s="43"/>
      <c r="Z94" s="43"/>
    </row>
    <row r="95" spans="1:26" ht="15.75" customHeight="1">
      <c r="A95" s="44"/>
      <c r="B95" s="45" t="s">
        <v>224</v>
      </c>
      <c r="C95" s="46">
        <v>8</v>
      </c>
      <c r="D95" s="47" t="s">
        <v>903</v>
      </c>
      <c r="E95" s="48" t="s">
        <v>904</v>
      </c>
      <c r="F95" s="48" t="s">
        <v>905</v>
      </c>
      <c r="G95" s="48" t="s">
        <v>477</v>
      </c>
      <c r="H95" s="48" t="s">
        <v>684</v>
      </c>
      <c r="I95" s="48" t="s">
        <v>906</v>
      </c>
      <c r="J95" s="48" t="s">
        <v>907</v>
      </c>
      <c r="K95" s="48" t="s">
        <v>505</v>
      </c>
      <c r="L95" s="48" t="s">
        <v>908</v>
      </c>
      <c r="M95" s="44"/>
      <c r="N95" s="44"/>
      <c r="O95" s="44"/>
      <c r="P95" s="48" t="s">
        <v>909</v>
      </c>
      <c r="Q95" s="44"/>
      <c r="R95" s="54" t="s">
        <v>506</v>
      </c>
      <c r="S95" s="3"/>
      <c r="T95" s="3"/>
      <c r="U95" s="3"/>
      <c r="V95" s="3"/>
      <c r="W95" s="3"/>
      <c r="X95" s="3"/>
      <c r="Y95" s="3"/>
      <c r="Z95" s="3"/>
    </row>
    <row r="96" spans="1:26" ht="15.75" customHeight="1">
      <c r="A96" s="50"/>
      <c r="B96" s="36" t="s">
        <v>224</v>
      </c>
      <c r="C96" s="37">
        <v>11</v>
      </c>
      <c r="D96" s="38" t="s">
        <v>672</v>
      </c>
      <c r="E96" s="39" t="s">
        <v>910</v>
      </c>
      <c r="F96" s="39" t="s">
        <v>911</v>
      </c>
      <c r="G96" s="39" t="s">
        <v>912</v>
      </c>
      <c r="H96" s="39" t="s">
        <v>630</v>
      </c>
      <c r="I96" s="39" t="s">
        <v>913</v>
      </c>
      <c r="J96" s="39" t="s">
        <v>914</v>
      </c>
      <c r="K96" s="39" t="s">
        <v>915</v>
      </c>
      <c r="L96" s="39" t="s">
        <v>916</v>
      </c>
      <c r="M96" s="50"/>
      <c r="N96" s="50"/>
      <c r="O96" s="50"/>
      <c r="P96" s="39" t="s">
        <v>917</v>
      </c>
      <c r="Q96" s="50"/>
      <c r="R96" s="42" t="s">
        <v>918</v>
      </c>
      <c r="S96" s="43"/>
      <c r="T96" s="43"/>
      <c r="U96" s="43"/>
      <c r="V96" s="43"/>
      <c r="W96" s="43"/>
      <c r="X96" s="43"/>
      <c r="Y96" s="43"/>
      <c r="Z96" s="43"/>
    </row>
    <row r="97" spans="1:26" ht="15.75" customHeight="1">
      <c r="A97" s="44"/>
      <c r="B97" s="45" t="s">
        <v>224</v>
      </c>
      <c r="C97" s="46">
        <v>12</v>
      </c>
      <c r="D97" s="47" t="s">
        <v>919</v>
      </c>
      <c r="E97" s="48" t="s">
        <v>920</v>
      </c>
      <c r="F97" s="48" t="s">
        <v>921</v>
      </c>
      <c r="G97" s="48" t="s">
        <v>922</v>
      </c>
      <c r="H97" s="48" t="s">
        <v>556</v>
      </c>
      <c r="I97" s="48" t="s">
        <v>923</v>
      </c>
      <c r="J97" s="48" t="s">
        <v>924</v>
      </c>
      <c r="K97" s="48" t="s">
        <v>505</v>
      </c>
      <c r="L97" s="48" t="s">
        <v>925</v>
      </c>
      <c r="M97" s="44"/>
      <c r="N97" s="44"/>
      <c r="O97" s="44"/>
      <c r="P97" s="48" t="s">
        <v>926</v>
      </c>
      <c r="Q97" s="44"/>
      <c r="R97" s="54" t="s">
        <v>927</v>
      </c>
      <c r="S97" s="3"/>
      <c r="T97" s="3"/>
      <c r="U97" s="3"/>
      <c r="V97" s="3"/>
      <c r="W97" s="3"/>
      <c r="X97" s="3"/>
      <c r="Y97" s="3"/>
      <c r="Z97" s="3"/>
    </row>
    <row r="98" spans="1:26" ht="15.75" customHeight="1">
      <c r="A98" s="50"/>
      <c r="B98" s="36" t="s">
        <v>224</v>
      </c>
      <c r="C98" s="37">
        <v>19</v>
      </c>
      <c r="D98" s="38" t="s">
        <v>928</v>
      </c>
      <c r="E98" s="39" t="s">
        <v>929</v>
      </c>
      <c r="F98" s="39" t="s">
        <v>930</v>
      </c>
      <c r="G98" s="39" t="s">
        <v>931</v>
      </c>
      <c r="H98" s="39" t="s">
        <v>566</v>
      </c>
      <c r="I98" s="39" t="s">
        <v>932</v>
      </c>
      <c r="J98" s="39" t="s">
        <v>933</v>
      </c>
      <c r="K98" s="39" t="s">
        <v>168</v>
      </c>
      <c r="L98" s="39" t="s">
        <v>934</v>
      </c>
      <c r="M98" s="50"/>
      <c r="N98" s="50"/>
      <c r="O98" s="50"/>
      <c r="P98" s="39" t="s">
        <v>935</v>
      </c>
      <c r="Q98" s="50"/>
      <c r="R98" s="42" t="s">
        <v>936</v>
      </c>
      <c r="S98" s="43"/>
      <c r="T98" s="43"/>
      <c r="U98" s="43"/>
      <c r="V98" s="43"/>
      <c r="W98" s="43"/>
      <c r="X98" s="43"/>
      <c r="Y98" s="43"/>
      <c r="Z98" s="43"/>
    </row>
    <row r="99" spans="1:26" ht="15.75" customHeight="1">
      <c r="A99" s="44"/>
      <c r="B99" s="45" t="s">
        <v>224</v>
      </c>
      <c r="C99" s="46">
        <v>21</v>
      </c>
      <c r="D99" s="47" t="s">
        <v>937</v>
      </c>
      <c r="E99" s="48" t="s">
        <v>938</v>
      </c>
      <c r="F99" s="48" t="s">
        <v>939</v>
      </c>
      <c r="G99" s="48" t="s">
        <v>940</v>
      </c>
      <c r="H99" s="48" t="s">
        <v>556</v>
      </c>
      <c r="I99" s="48" t="s">
        <v>941</v>
      </c>
      <c r="J99" s="48" t="s">
        <v>942</v>
      </c>
      <c r="K99" s="48" t="s">
        <v>220</v>
      </c>
      <c r="L99" s="48" t="s">
        <v>943</v>
      </c>
      <c r="M99" s="44"/>
      <c r="N99" s="44"/>
      <c r="O99" s="44"/>
      <c r="P99" s="48" t="s">
        <v>944</v>
      </c>
      <c r="Q99" s="44"/>
      <c r="R99" s="54" t="s">
        <v>945</v>
      </c>
      <c r="S99" s="3"/>
      <c r="T99" s="3"/>
      <c r="U99" s="3"/>
      <c r="V99" s="3"/>
      <c r="W99" s="3"/>
      <c r="X99" s="3"/>
      <c r="Y99" s="3"/>
      <c r="Z99" s="3"/>
    </row>
    <row r="100" spans="1:26" ht="15.75" customHeight="1">
      <c r="A100" s="3"/>
      <c r="B100" s="3"/>
      <c r="C100" s="3"/>
      <c r="D100" s="47"/>
      <c r="E100" s="3"/>
      <c r="F100" s="3"/>
      <c r="G100" s="3"/>
      <c r="H100" s="3"/>
      <c r="I100" s="44"/>
      <c r="J100" s="3"/>
      <c r="K100" s="3"/>
      <c r="L100" s="3"/>
      <c r="M100" s="3"/>
      <c r="N100" s="3"/>
      <c r="O100" s="3"/>
      <c r="P100" s="3"/>
      <c r="Q100" s="3"/>
      <c r="R100" s="3"/>
      <c r="S100" s="3"/>
      <c r="T100" s="3"/>
      <c r="U100" s="3"/>
      <c r="V100" s="3"/>
      <c r="W100" s="3"/>
      <c r="X100" s="3"/>
      <c r="Y100" s="3"/>
      <c r="Z100" s="3"/>
    </row>
    <row r="101" spans="1:26" ht="15.75" customHeight="1">
      <c r="A101" s="3"/>
      <c r="B101" s="3"/>
      <c r="C101" s="3"/>
      <c r="D101" s="47"/>
      <c r="E101" s="3"/>
      <c r="F101" s="3"/>
      <c r="G101" s="3"/>
      <c r="H101" s="3"/>
      <c r="I101" s="44"/>
      <c r="J101" s="3"/>
      <c r="K101" s="3"/>
      <c r="L101" s="3"/>
      <c r="M101" s="3"/>
      <c r="N101" s="3"/>
      <c r="O101" s="3"/>
      <c r="P101" s="3"/>
      <c r="Q101" s="3"/>
      <c r="R101" s="3"/>
      <c r="S101" s="3"/>
      <c r="T101" s="3"/>
      <c r="U101" s="3"/>
      <c r="V101" s="3"/>
      <c r="W101" s="3"/>
      <c r="X101" s="3"/>
      <c r="Y101" s="3"/>
      <c r="Z101" s="3"/>
    </row>
    <row r="102" spans="1:26" ht="15.75" customHeight="1">
      <c r="A102" s="3"/>
      <c r="B102" s="3"/>
      <c r="C102" s="3"/>
      <c r="D102" s="47"/>
      <c r="E102" s="3"/>
      <c r="F102" s="3"/>
      <c r="G102" s="3"/>
      <c r="H102" s="3"/>
      <c r="I102" s="44"/>
      <c r="J102" s="3"/>
      <c r="K102" s="3"/>
      <c r="L102" s="3"/>
      <c r="M102" s="3"/>
      <c r="N102" s="3"/>
      <c r="O102" s="3"/>
      <c r="P102" s="3"/>
      <c r="Q102" s="3"/>
      <c r="R102" s="3"/>
      <c r="S102" s="3"/>
      <c r="T102" s="3"/>
      <c r="U102" s="3"/>
      <c r="V102" s="3"/>
      <c r="W102" s="3"/>
      <c r="X102" s="3"/>
      <c r="Y102" s="3"/>
      <c r="Z102" s="3"/>
    </row>
    <row r="103" spans="1:26" ht="15.75" customHeight="1">
      <c r="A103" s="3"/>
      <c r="B103" s="3"/>
      <c r="C103" s="3"/>
      <c r="D103" s="47"/>
      <c r="E103" s="3"/>
      <c r="F103" s="3"/>
      <c r="G103" s="3"/>
      <c r="H103" s="3"/>
      <c r="I103" s="44"/>
      <c r="J103" s="3"/>
      <c r="K103" s="3"/>
      <c r="L103" s="3"/>
      <c r="M103" s="3"/>
      <c r="N103" s="3"/>
      <c r="O103" s="3"/>
      <c r="P103" s="3"/>
      <c r="Q103" s="3"/>
      <c r="R103" s="3"/>
      <c r="S103" s="3"/>
      <c r="T103" s="3"/>
      <c r="U103" s="3"/>
      <c r="V103" s="3"/>
      <c r="W103" s="3"/>
      <c r="X103" s="3"/>
      <c r="Y103" s="3"/>
      <c r="Z103" s="3"/>
    </row>
    <row r="104" spans="1:26" ht="15.75" customHeight="1">
      <c r="A104" s="3"/>
      <c r="B104" s="3"/>
      <c r="C104" s="3"/>
      <c r="D104" s="47"/>
      <c r="E104" s="3"/>
      <c r="F104" s="3"/>
      <c r="G104" s="3"/>
      <c r="H104" s="3"/>
      <c r="I104" s="44"/>
      <c r="J104" s="3"/>
      <c r="K104" s="3"/>
      <c r="L104" s="3"/>
      <c r="M104" s="3"/>
      <c r="N104" s="3"/>
      <c r="O104" s="3"/>
      <c r="P104" s="3"/>
      <c r="Q104" s="3"/>
      <c r="R104" s="3"/>
      <c r="S104" s="3"/>
      <c r="T104" s="3"/>
      <c r="U104" s="3"/>
      <c r="V104" s="3"/>
      <c r="W104" s="3"/>
      <c r="X104" s="3"/>
      <c r="Y104" s="3"/>
      <c r="Z104" s="3"/>
    </row>
    <row r="105" spans="1:26" ht="15.75" customHeight="1">
      <c r="A105" s="3"/>
      <c r="B105" s="3"/>
      <c r="C105" s="3"/>
      <c r="D105" s="47"/>
      <c r="E105" s="3"/>
      <c r="F105" s="3"/>
      <c r="G105" s="3"/>
      <c r="H105" s="3"/>
      <c r="I105" s="44"/>
      <c r="J105" s="3"/>
      <c r="K105" s="3"/>
      <c r="L105" s="3"/>
      <c r="M105" s="3"/>
      <c r="N105" s="3"/>
      <c r="O105" s="3"/>
      <c r="P105" s="3"/>
      <c r="Q105" s="3"/>
      <c r="R105" s="3"/>
      <c r="S105" s="3"/>
      <c r="T105" s="3"/>
      <c r="U105" s="3"/>
      <c r="V105" s="3"/>
      <c r="W105" s="3"/>
      <c r="X105" s="3"/>
      <c r="Y105" s="3"/>
      <c r="Z105" s="3"/>
    </row>
    <row r="106" spans="1:26" ht="15.75" customHeight="1">
      <c r="A106" s="3"/>
      <c r="B106" s="3"/>
      <c r="C106" s="3"/>
      <c r="D106" s="47"/>
      <c r="E106" s="3"/>
      <c r="F106" s="3"/>
      <c r="G106" s="3"/>
      <c r="H106" s="3"/>
      <c r="I106" s="44"/>
      <c r="J106" s="3"/>
      <c r="K106" s="3"/>
      <c r="L106" s="3"/>
      <c r="M106" s="3"/>
      <c r="N106" s="3"/>
      <c r="O106" s="3"/>
      <c r="P106" s="3"/>
      <c r="Q106" s="3"/>
      <c r="R106" s="3"/>
      <c r="S106" s="3"/>
      <c r="T106" s="3"/>
      <c r="U106" s="3"/>
      <c r="V106" s="3"/>
      <c r="W106" s="3"/>
      <c r="X106" s="3"/>
      <c r="Y106" s="3"/>
      <c r="Z106" s="3"/>
    </row>
    <row r="107" spans="1:26" ht="15.75" customHeight="1">
      <c r="A107" s="3"/>
      <c r="B107" s="3"/>
      <c r="C107" s="3"/>
      <c r="D107" s="47"/>
      <c r="E107" s="3"/>
      <c r="F107" s="3"/>
      <c r="G107" s="3"/>
      <c r="H107" s="3"/>
      <c r="I107" s="44"/>
      <c r="J107" s="3"/>
      <c r="K107" s="3"/>
      <c r="L107" s="3"/>
      <c r="M107" s="3"/>
      <c r="N107" s="3"/>
      <c r="O107" s="3"/>
      <c r="P107" s="3"/>
      <c r="Q107" s="3"/>
      <c r="R107" s="3"/>
      <c r="S107" s="3"/>
      <c r="T107" s="3"/>
      <c r="U107" s="3"/>
      <c r="V107" s="3"/>
      <c r="W107" s="3"/>
      <c r="X107" s="3"/>
      <c r="Y107" s="3"/>
      <c r="Z107" s="3"/>
    </row>
    <row r="108" spans="1:26" ht="15.75" customHeight="1">
      <c r="A108" s="3"/>
      <c r="B108" s="3"/>
      <c r="C108" s="3"/>
      <c r="D108" s="47"/>
      <c r="E108" s="3"/>
      <c r="F108" s="3"/>
      <c r="G108" s="3"/>
      <c r="H108" s="3"/>
      <c r="I108" s="44"/>
      <c r="J108" s="3"/>
      <c r="K108" s="3"/>
      <c r="L108" s="3"/>
      <c r="M108" s="3"/>
      <c r="N108" s="3"/>
      <c r="O108" s="3"/>
      <c r="P108" s="3"/>
      <c r="Q108" s="3"/>
      <c r="R108" s="3"/>
      <c r="S108" s="3"/>
      <c r="T108" s="3"/>
      <c r="U108" s="3"/>
      <c r="V108" s="3"/>
      <c r="W108" s="3"/>
      <c r="X108" s="3"/>
      <c r="Y108" s="3"/>
      <c r="Z108" s="3"/>
    </row>
    <row r="109" spans="1:26" ht="15.75" customHeight="1">
      <c r="A109" s="3"/>
      <c r="B109" s="3"/>
      <c r="C109" s="3"/>
      <c r="D109" s="47"/>
      <c r="E109" s="3"/>
      <c r="F109" s="3"/>
      <c r="G109" s="3"/>
      <c r="H109" s="3"/>
      <c r="I109" s="44"/>
      <c r="J109" s="3"/>
      <c r="K109" s="3"/>
      <c r="L109" s="3"/>
      <c r="M109" s="3"/>
      <c r="N109" s="3"/>
      <c r="O109" s="3"/>
      <c r="P109" s="3"/>
      <c r="Q109" s="3"/>
      <c r="R109" s="3"/>
      <c r="S109" s="3"/>
      <c r="T109" s="3"/>
      <c r="U109" s="3"/>
      <c r="V109" s="3"/>
      <c r="W109" s="3"/>
      <c r="X109" s="3"/>
      <c r="Y109" s="3"/>
      <c r="Z109" s="3"/>
    </row>
    <row r="110" spans="1:26" ht="15.75" customHeight="1">
      <c r="A110" s="3"/>
      <c r="B110" s="3"/>
      <c r="C110" s="3"/>
      <c r="D110" s="47"/>
      <c r="E110" s="3"/>
      <c r="F110" s="3"/>
      <c r="G110" s="3"/>
      <c r="H110" s="3"/>
      <c r="I110" s="44"/>
      <c r="J110" s="3"/>
      <c r="K110" s="3"/>
      <c r="L110" s="3"/>
      <c r="M110" s="3"/>
      <c r="N110" s="3"/>
      <c r="O110" s="3"/>
      <c r="P110" s="3"/>
      <c r="Q110" s="3"/>
      <c r="R110" s="3"/>
      <c r="S110" s="3"/>
      <c r="T110" s="3"/>
      <c r="U110" s="3"/>
      <c r="V110" s="3"/>
      <c r="W110" s="3"/>
      <c r="X110" s="3"/>
      <c r="Y110" s="3"/>
      <c r="Z110" s="3"/>
    </row>
    <row r="111" spans="1:26" ht="15.75" customHeight="1">
      <c r="A111" s="3"/>
      <c r="B111" s="3"/>
      <c r="C111" s="3"/>
      <c r="D111" s="47"/>
      <c r="E111" s="3"/>
      <c r="F111" s="3"/>
      <c r="G111" s="3"/>
      <c r="H111" s="3"/>
      <c r="I111" s="44"/>
      <c r="J111" s="3"/>
      <c r="K111" s="3"/>
      <c r="L111" s="3"/>
      <c r="M111" s="3"/>
      <c r="N111" s="3"/>
      <c r="O111" s="3"/>
      <c r="P111" s="3"/>
      <c r="Q111" s="3"/>
      <c r="R111" s="3"/>
      <c r="S111" s="3"/>
      <c r="T111" s="3"/>
      <c r="U111" s="3"/>
      <c r="V111" s="3"/>
      <c r="W111" s="3"/>
      <c r="X111" s="3"/>
      <c r="Y111" s="3"/>
      <c r="Z111" s="3"/>
    </row>
    <row r="112" spans="1:26" ht="15.75" customHeight="1">
      <c r="A112" s="3"/>
      <c r="B112" s="3"/>
      <c r="C112" s="3"/>
      <c r="D112" s="47"/>
      <c r="E112" s="3"/>
      <c r="F112" s="3"/>
      <c r="G112" s="3"/>
      <c r="H112" s="3"/>
      <c r="I112" s="44"/>
      <c r="J112" s="3"/>
      <c r="K112" s="3"/>
      <c r="L112" s="3"/>
      <c r="M112" s="3"/>
      <c r="N112" s="3"/>
      <c r="O112" s="3"/>
      <c r="P112" s="3"/>
      <c r="Q112" s="3"/>
      <c r="R112" s="3"/>
      <c r="S112" s="3"/>
      <c r="T112" s="3"/>
      <c r="U112" s="3"/>
      <c r="V112" s="3"/>
      <c r="W112" s="3"/>
      <c r="X112" s="3"/>
      <c r="Y112" s="3"/>
      <c r="Z112" s="3"/>
    </row>
    <row r="113" spans="1:26" ht="15.75" customHeight="1">
      <c r="A113" s="3"/>
      <c r="B113" s="3"/>
      <c r="C113" s="3"/>
      <c r="D113" s="47"/>
      <c r="E113" s="3"/>
      <c r="F113" s="3"/>
      <c r="G113" s="3"/>
      <c r="H113" s="3"/>
      <c r="I113" s="44"/>
      <c r="J113" s="3"/>
      <c r="K113" s="3"/>
      <c r="L113" s="3"/>
      <c r="M113" s="3"/>
      <c r="N113" s="3"/>
      <c r="O113" s="3"/>
      <c r="P113" s="3"/>
      <c r="Q113" s="3"/>
      <c r="R113" s="3"/>
      <c r="S113" s="3"/>
      <c r="T113" s="3"/>
      <c r="U113" s="3"/>
      <c r="V113" s="3"/>
      <c r="W113" s="3"/>
      <c r="X113" s="3"/>
      <c r="Y113" s="3"/>
      <c r="Z113" s="3"/>
    </row>
    <row r="114" spans="1:26" ht="15.75" customHeight="1">
      <c r="A114" s="3"/>
      <c r="B114" s="3"/>
      <c r="C114" s="3"/>
      <c r="D114" s="47"/>
      <c r="E114" s="3"/>
      <c r="F114" s="3"/>
      <c r="G114" s="3"/>
      <c r="H114" s="3"/>
      <c r="I114" s="44"/>
      <c r="J114" s="3"/>
      <c r="K114" s="3"/>
      <c r="L114" s="3"/>
      <c r="M114" s="3"/>
      <c r="N114" s="3"/>
      <c r="O114" s="3"/>
      <c r="P114" s="3"/>
      <c r="Q114" s="3"/>
      <c r="R114" s="3"/>
      <c r="S114" s="3"/>
      <c r="T114" s="3"/>
      <c r="U114" s="3"/>
      <c r="V114" s="3"/>
      <c r="W114" s="3"/>
      <c r="X114" s="3"/>
      <c r="Y114" s="3"/>
      <c r="Z114" s="3"/>
    </row>
    <row r="115" spans="1:26" ht="15.75" customHeight="1">
      <c r="A115" s="3"/>
      <c r="B115" s="3"/>
      <c r="C115" s="3"/>
      <c r="D115" s="47"/>
      <c r="E115" s="3"/>
      <c r="F115" s="3"/>
      <c r="G115" s="3"/>
      <c r="H115" s="3"/>
      <c r="I115" s="44"/>
      <c r="J115" s="3"/>
      <c r="K115" s="3"/>
      <c r="L115" s="3"/>
      <c r="M115" s="3"/>
      <c r="N115" s="3"/>
      <c r="O115" s="3"/>
      <c r="P115" s="3"/>
      <c r="Q115" s="3"/>
      <c r="R115" s="3"/>
      <c r="S115" s="3"/>
      <c r="T115" s="3"/>
      <c r="U115" s="3"/>
      <c r="V115" s="3"/>
      <c r="W115" s="3"/>
      <c r="X115" s="3"/>
      <c r="Y115" s="3"/>
      <c r="Z115" s="3"/>
    </row>
    <row r="116" spans="1:26" ht="15.75" customHeight="1">
      <c r="A116" s="3"/>
      <c r="B116" s="3"/>
      <c r="C116" s="3"/>
      <c r="D116" s="47"/>
      <c r="E116" s="3"/>
      <c r="F116" s="3"/>
      <c r="G116" s="3"/>
      <c r="H116" s="3"/>
      <c r="I116" s="44"/>
      <c r="J116" s="3"/>
      <c r="K116" s="3"/>
      <c r="L116" s="3"/>
      <c r="M116" s="3"/>
      <c r="N116" s="3"/>
      <c r="O116" s="3"/>
      <c r="P116" s="3"/>
      <c r="Q116" s="3"/>
      <c r="R116" s="3"/>
      <c r="S116" s="3"/>
      <c r="T116" s="3"/>
      <c r="U116" s="3"/>
      <c r="V116" s="3"/>
      <c r="W116" s="3"/>
      <c r="X116" s="3"/>
      <c r="Y116" s="3"/>
      <c r="Z116" s="3"/>
    </row>
    <row r="117" spans="1:26" ht="15.75" customHeight="1">
      <c r="A117" s="3"/>
      <c r="B117" s="3"/>
      <c r="C117" s="3"/>
      <c r="D117" s="47"/>
      <c r="E117" s="3"/>
      <c r="F117" s="3"/>
      <c r="G117" s="3"/>
      <c r="H117" s="3"/>
      <c r="I117" s="44"/>
      <c r="J117" s="3"/>
      <c r="K117" s="3"/>
      <c r="L117" s="3"/>
      <c r="M117" s="3"/>
      <c r="N117" s="3"/>
      <c r="O117" s="3"/>
      <c r="P117" s="3"/>
      <c r="Q117" s="3"/>
      <c r="R117" s="3"/>
      <c r="S117" s="3"/>
      <c r="T117" s="3"/>
      <c r="U117" s="3"/>
      <c r="V117" s="3"/>
      <c r="W117" s="3"/>
      <c r="X117" s="3"/>
      <c r="Y117" s="3"/>
      <c r="Z117" s="3"/>
    </row>
    <row r="118" spans="1:26" ht="15.75" customHeight="1">
      <c r="A118" s="3"/>
      <c r="B118" s="3"/>
      <c r="C118" s="3"/>
      <c r="D118" s="47"/>
      <c r="E118" s="3"/>
      <c r="F118" s="3"/>
      <c r="G118" s="3"/>
      <c r="H118" s="3"/>
      <c r="I118" s="44"/>
      <c r="J118" s="3"/>
      <c r="K118" s="3"/>
      <c r="L118" s="3"/>
      <c r="M118" s="3"/>
      <c r="N118" s="3"/>
      <c r="O118" s="3"/>
      <c r="P118" s="3"/>
      <c r="Q118" s="3"/>
      <c r="R118" s="3"/>
      <c r="S118" s="3"/>
      <c r="T118" s="3"/>
      <c r="U118" s="3"/>
      <c r="V118" s="3"/>
      <c r="W118" s="3"/>
      <c r="X118" s="3"/>
      <c r="Y118" s="3"/>
      <c r="Z118" s="3"/>
    </row>
    <row r="119" spans="1:26" ht="15.75" customHeight="1">
      <c r="A119" s="3"/>
      <c r="B119" s="3"/>
      <c r="C119" s="3"/>
      <c r="D119" s="47"/>
      <c r="E119" s="3"/>
      <c r="F119" s="3"/>
      <c r="G119" s="3"/>
      <c r="H119" s="3"/>
      <c r="I119" s="44"/>
      <c r="J119" s="3"/>
      <c r="K119" s="3"/>
      <c r="L119" s="3"/>
      <c r="M119" s="3"/>
      <c r="N119" s="3"/>
      <c r="O119" s="3"/>
      <c r="P119" s="3"/>
      <c r="Q119" s="3"/>
      <c r="R119" s="3"/>
      <c r="S119" s="3"/>
      <c r="T119" s="3"/>
      <c r="U119" s="3"/>
      <c r="V119" s="3"/>
      <c r="W119" s="3"/>
      <c r="X119" s="3"/>
      <c r="Y119" s="3"/>
      <c r="Z119" s="3"/>
    </row>
    <row r="120" spans="1:26" ht="15.75" customHeight="1">
      <c r="A120" s="3"/>
      <c r="B120" s="3"/>
      <c r="C120" s="3"/>
      <c r="D120" s="47"/>
      <c r="E120" s="3"/>
      <c r="F120" s="3"/>
      <c r="G120" s="3"/>
      <c r="H120" s="3"/>
      <c r="I120" s="44"/>
      <c r="J120" s="3"/>
      <c r="K120" s="3"/>
      <c r="L120" s="3"/>
      <c r="M120" s="3"/>
      <c r="N120" s="3"/>
      <c r="O120" s="3"/>
      <c r="P120" s="3"/>
      <c r="Q120" s="3"/>
      <c r="R120" s="3"/>
      <c r="S120" s="3"/>
      <c r="T120" s="3"/>
      <c r="U120" s="3"/>
      <c r="V120" s="3"/>
      <c r="W120" s="3"/>
      <c r="X120" s="3"/>
      <c r="Y120" s="3"/>
      <c r="Z120" s="3"/>
    </row>
    <row r="121" spans="1:26" ht="15.75" customHeight="1">
      <c r="A121" s="3"/>
      <c r="B121" s="3"/>
      <c r="C121" s="3"/>
      <c r="D121" s="47"/>
      <c r="E121" s="3"/>
      <c r="F121" s="3"/>
      <c r="G121" s="3"/>
      <c r="H121" s="3"/>
      <c r="I121" s="44"/>
      <c r="J121" s="3"/>
      <c r="K121" s="3"/>
      <c r="L121" s="3"/>
      <c r="M121" s="3"/>
      <c r="N121" s="3"/>
      <c r="O121" s="3"/>
      <c r="P121" s="3"/>
      <c r="Q121" s="3"/>
      <c r="R121" s="3"/>
      <c r="S121" s="3"/>
      <c r="T121" s="3"/>
      <c r="U121" s="3"/>
      <c r="V121" s="3"/>
      <c r="W121" s="3"/>
      <c r="X121" s="3"/>
      <c r="Y121" s="3"/>
      <c r="Z121" s="3"/>
    </row>
    <row r="122" spans="1:26" ht="15.75" customHeight="1">
      <c r="A122" s="3"/>
      <c r="B122" s="3"/>
      <c r="C122" s="3"/>
      <c r="D122" s="47"/>
      <c r="E122" s="3"/>
      <c r="F122" s="3"/>
      <c r="G122" s="3"/>
      <c r="H122" s="3"/>
      <c r="I122" s="44"/>
      <c r="J122" s="3"/>
      <c r="K122" s="3"/>
      <c r="L122" s="3"/>
      <c r="M122" s="3"/>
      <c r="N122" s="3"/>
      <c r="O122" s="3"/>
      <c r="P122" s="3"/>
      <c r="Q122" s="3"/>
      <c r="R122" s="3"/>
      <c r="S122" s="3"/>
      <c r="T122" s="3"/>
      <c r="U122" s="3"/>
      <c r="V122" s="3"/>
      <c r="W122" s="3"/>
      <c r="X122" s="3"/>
      <c r="Y122" s="3"/>
      <c r="Z122" s="3"/>
    </row>
    <row r="123" spans="1:26" ht="15.75" customHeight="1">
      <c r="A123" s="3"/>
      <c r="B123" s="3"/>
      <c r="C123" s="3"/>
      <c r="D123" s="47"/>
      <c r="E123" s="3"/>
      <c r="F123" s="3"/>
      <c r="G123" s="3"/>
      <c r="H123" s="3"/>
      <c r="I123" s="44"/>
      <c r="J123" s="3"/>
      <c r="K123" s="3"/>
      <c r="L123" s="3"/>
      <c r="M123" s="3"/>
      <c r="N123" s="3"/>
      <c r="O123" s="3"/>
      <c r="P123" s="3"/>
      <c r="Q123" s="3"/>
      <c r="R123" s="3"/>
      <c r="S123" s="3"/>
      <c r="T123" s="3"/>
      <c r="U123" s="3"/>
      <c r="V123" s="3"/>
      <c r="W123" s="3"/>
      <c r="X123" s="3"/>
      <c r="Y123" s="3"/>
      <c r="Z123" s="3"/>
    </row>
    <row r="124" spans="1:26" ht="15.75" customHeight="1">
      <c r="A124" s="3"/>
      <c r="B124" s="3"/>
      <c r="C124" s="3"/>
      <c r="D124" s="47"/>
      <c r="E124" s="3"/>
      <c r="F124" s="3"/>
      <c r="G124" s="3"/>
      <c r="H124" s="3"/>
      <c r="I124" s="44"/>
      <c r="J124" s="3"/>
      <c r="K124" s="3"/>
      <c r="L124" s="3"/>
      <c r="M124" s="3"/>
      <c r="N124" s="3"/>
      <c r="O124" s="3"/>
      <c r="P124" s="3"/>
      <c r="Q124" s="3"/>
      <c r="R124" s="3"/>
      <c r="S124" s="3"/>
      <c r="T124" s="3"/>
      <c r="U124" s="3"/>
      <c r="V124" s="3"/>
      <c r="W124" s="3"/>
      <c r="X124" s="3"/>
      <c r="Y124" s="3"/>
      <c r="Z124" s="3"/>
    </row>
    <row r="125" spans="1:26" ht="15.75" customHeight="1">
      <c r="A125" s="3"/>
      <c r="B125" s="3"/>
      <c r="C125" s="3"/>
      <c r="D125" s="47"/>
      <c r="E125" s="3"/>
      <c r="F125" s="3"/>
      <c r="G125" s="3"/>
      <c r="H125" s="3"/>
      <c r="I125" s="44"/>
      <c r="J125" s="3"/>
      <c r="K125" s="3"/>
      <c r="L125" s="3"/>
      <c r="M125" s="3"/>
      <c r="N125" s="3"/>
      <c r="O125" s="3"/>
      <c r="P125" s="3"/>
      <c r="Q125" s="3"/>
      <c r="R125" s="3"/>
      <c r="S125" s="3"/>
      <c r="T125" s="3"/>
      <c r="U125" s="3"/>
      <c r="V125" s="3"/>
      <c r="W125" s="3"/>
      <c r="X125" s="3"/>
      <c r="Y125" s="3"/>
      <c r="Z125" s="3"/>
    </row>
    <row r="126" spans="1:26" ht="15.75" customHeight="1">
      <c r="A126" s="3"/>
      <c r="B126" s="3"/>
      <c r="C126" s="3"/>
      <c r="D126" s="47"/>
      <c r="E126" s="3"/>
      <c r="F126" s="3"/>
      <c r="G126" s="3"/>
      <c r="H126" s="3"/>
      <c r="I126" s="44"/>
      <c r="J126" s="3"/>
      <c r="K126" s="3"/>
      <c r="L126" s="3"/>
      <c r="M126" s="3"/>
      <c r="N126" s="3"/>
      <c r="O126" s="3"/>
      <c r="P126" s="3"/>
      <c r="Q126" s="3"/>
      <c r="R126" s="3"/>
      <c r="S126" s="3"/>
      <c r="T126" s="3"/>
      <c r="U126" s="3"/>
      <c r="V126" s="3"/>
      <c r="W126" s="3"/>
      <c r="X126" s="3"/>
      <c r="Y126" s="3"/>
      <c r="Z126" s="3"/>
    </row>
    <row r="127" spans="1:26" ht="15.75" customHeight="1">
      <c r="A127" s="3"/>
      <c r="B127" s="3"/>
      <c r="C127" s="3"/>
      <c r="D127" s="47"/>
      <c r="E127" s="3"/>
      <c r="F127" s="3"/>
      <c r="G127" s="3"/>
      <c r="H127" s="3"/>
      <c r="I127" s="44"/>
      <c r="J127" s="3"/>
      <c r="K127" s="3"/>
      <c r="L127" s="3"/>
      <c r="M127" s="3"/>
      <c r="N127" s="3"/>
      <c r="O127" s="3"/>
      <c r="P127" s="3"/>
      <c r="Q127" s="3"/>
      <c r="R127" s="3"/>
      <c r="S127" s="3"/>
      <c r="T127" s="3"/>
      <c r="U127" s="3"/>
      <c r="V127" s="3"/>
      <c r="W127" s="3"/>
      <c r="X127" s="3"/>
      <c r="Y127" s="3"/>
      <c r="Z127" s="3"/>
    </row>
    <row r="128" spans="1:26" ht="15.75" customHeight="1">
      <c r="A128" s="3"/>
      <c r="B128" s="3"/>
      <c r="C128" s="3"/>
      <c r="D128" s="47"/>
      <c r="E128" s="3"/>
      <c r="F128" s="3"/>
      <c r="G128" s="3"/>
      <c r="H128" s="3"/>
      <c r="I128" s="44"/>
      <c r="J128" s="3"/>
      <c r="K128" s="3"/>
      <c r="L128" s="3"/>
      <c r="M128" s="3"/>
      <c r="N128" s="3"/>
      <c r="O128" s="3"/>
      <c r="P128" s="3"/>
      <c r="Q128" s="3"/>
      <c r="R128" s="3"/>
      <c r="S128" s="3"/>
      <c r="T128" s="3"/>
      <c r="U128" s="3"/>
      <c r="V128" s="3"/>
      <c r="W128" s="3"/>
      <c r="X128" s="3"/>
      <c r="Y128" s="3"/>
      <c r="Z128" s="3"/>
    </row>
    <row r="129" spans="1:26" ht="15.75" customHeight="1">
      <c r="A129" s="3"/>
      <c r="B129" s="3"/>
      <c r="C129" s="3"/>
      <c r="D129" s="47"/>
      <c r="E129" s="3"/>
      <c r="F129" s="3"/>
      <c r="G129" s="3"/>
      <c r="H129" s="3"/>
      <c r="I129" s="44"/>
      <c r="J129" s="3"/>
      <c r="K129" s="3"/>
      <c r="L129" s="3"/>
      <c r="M129" s="3"/>
      <c r="N129" s="3"/>
      <c r="O129" s="3"/>
      <c r="P129" s="3"/>
      <c r="Q129" s="3"/>
      <c r="R129" s="3"/>
      <c r="S129" s="3"/>
      <c r="T129" s="3"/>
      <c r="U129" s="3"/>
      <c r="V129" s="3"/>
      <c r="W129" s="3"/>
      <c r="X129" s="3"/>
      <c r="Y129" s="3"/>
      <c r="Z129" s="3"/>
    </row>
    <row r="130" spans="1:26" ht="15.75" customHeight="1">
      <c r="A130" s="3"/>
      <c r="B130" s="3"/>
      <c r="C130" s="3"/>
      <c r="D130" s="47"/>
      <c r="E130" s="3"/>
      <c r="F130" s="3"/>
      <c r="G130" s="3"/>
      <c r="H130" s="3"/>
      <c r="I130" s="44"/>
      <c r="J130" s="3"/>
      <c r="K130" s="3"/>
      <c r="L130" s="3"/>
      <c r="M130" s="3"/>
      <c r="N130" s="3"/>
      <c r="O130" s="3"/>
      <c r="P130" s="3"/>
      <c r="Q130" s="3"/>
      <c r="R130" s="3"/>
      <c r="S130" s="3"/>
      <c r="T130" s="3"/>
      <c r="U130" s="3"/>
      <c r="V130" s="3"/>
      <c r="W130" s="3"/>
      <c r="X130" s="3"/>
      <c r="Y130" s="3"/>
      <c r="Z130" s="3"/>
    </row>
    <row r="131" spans="1:26" ht="15.75" customHeight="1">
      <c r="A131" s="3"/>
      <c r="B131" s="3"/>
      <c r="C131" s="3"/>
      <c r="D131" s="47"/>
      <c r="E131" s="3"/>
      <c r="F131" s="3"/>
      <c r="G131" s="3"/>
      <c r="H131" s="3"/>
      <c r="I131" s="44"/>
      <c r="J131" s="3"/>
      <c r="K131" s="3"/>
      <c r="L131" s="3"/>
      <c r="M131" s="3"/>
      <c r="N131" s="3"/>
      <c r="O131" s="3"/>
      <c r="P131" s="3"/>
      <c r="Q131" s="3"/>
      <c r="R131" s="3"/>
      <c r="S131" s="3"/>
      <c r="T131" s="3"/>
      <c r="U131" s="3"/>
      <c r="V131" s="3"/>
      <c r="W131" s="3"/>
      <c r="X131" s="3"/>
      <c r="Y131" s="3"/>
      <c r="Z131" s="3"/>
    </row>
    <row r="132" spans="1:26" ht="15.75" customHeight="1">
      <c r="A132" s="3"/>
      <c r="B132" s="3"/>
      <c r="C132" s="3"/>
      <c r="D132" s="47"/>
      <c r="E132" s="3"/>
      <c r="F132" s="3"/>
      <c r="G132" s="3"/>
      <c r="H132" s="3"/>
      <c r="I132" s="44"/>
      <c r="J132" s="3"/>
      <c r="K132" s="3"/>
      <c r="L132" s="3"/>
      <c r="M132" s="3"/>
      <c r="N132" s="3"/>
      <c r="O132" s="3"/>
      <c r="P132" s="3"/>
      <c r="Q132" s="3"/>
      <c r="R132" s="3"/>
      <c r="S132" s="3"/>
      <c r="T132" s="3"/>
      <c r="U132" s="3"/>
      <c r="V132" s="3"/>
      <c r="W132" s="3"/>
      <c r="X132" s="3"/>
      <c r="Y132" s="3"/>
      <c r="Z132" s="3"/>
    </row>
    <row r="133" spans="1:26" ht="15.75" customHeight="1">
      <c r="A133" s="3"/>
      <c r="B133" s="3"/>
      <c r="C133" s="3"/>
      <c r="D133" s="47"/>
      <c r="E133" s="3"/>
      <c r="F133" s="3"/>
      <c r="G133" s="3"/>
      <c r="H133" s="3"/>
      <c r="I133" s="44"/>
      <c r="J133" s="3"/>
      <c r="K133" s="3"/>
      <c r="L133" s="3"/>
      <c r="M133" s="3"/>
      <c r="N133" s="3"/>
      <c r="O133" s="3"/>
      <c r="P133" s="3"/>
      <c r="Q133" s="3"/>
      <c r="R133" s="3"/>
      <c r="S133" s="3"/>
      <c r="T133" s="3"/>
      <c r="U133" s="3"/>
      <c r="V133" s="3"/>
      <c r="W133" s="3"/>
      <c r="X133" s="3"/>
      <c r="Y133" s="3"/>
      <c r="Z133" s="3"/>
    </row>
    <row r="134" spans="1:26" ht="15.75" customHeight="1">
      <c r="A134" s="3"/>
      <c r="B134" s="3"/>
      <c r="C134" s="3"/>
      <c r="D134" s="47"/>
      <c r="E134" s="3"/>
      <c r="F134" s="3"/>
      <c r="G134" s="3"/>
      <c r="H134" s="3"/>
      <c r="I134" s="44"/>
      <c r="J134" s="3"/>
      <c r="K134" s="3"/>
      <c r="L134" s="3"/>
      <c r="M134" s="3"/>
      <c r="N134" s="3"/>
      <c r="O134" s="3"/>
      <c r="P134" s="3"/>
      <c r="Q134" s="3"/>
      <c r="R134" s="3"/>
      <c r="S134" s="3"/>
      <c r="T134" s="3"/>
      <c r="U134" s="3"/>
      <c r="V134" s="3"/>
      <c r="W134" s="3"/>
      <c r="X134" s="3"/>
      <c r="Y134" s="3"/>
      <c r="Z134" s="3"/>
    </row>
    <row r="135" spans="1:26" ht="15.75" customHeight="1">
      <c r="A135" s="3"/>
      <c r="B135" s="3"/>
      <c r="C135" s="3"/>
      <c r="D135" s="47"/>
      <c r="E135" s="3"/>
      <c r="F135" s="3"/>
      <c r="G135" s="3"/>
      <c r="H135" s="3"/>
      <c r="I135" s="44"/>
      <c r="J135" s="3"/>
      <c r="K135" s="3"/>
      <c r="L135" s="3"/>
      <c r="M135" s="3"/>
      <c r="N135" s="3"/>
      <c r="O135" s="3"/>
      <c r="P135" s="3"/>
      <c r="Q135" s="3"/>
      <c r="R135" s="3"/>
      <c r="S135" s="3"/>
      <c r="T135" s="3"/>
      <c r="U135" s="3"/>
      <c r="V135" s="3"/>
      <c r="W135" s="3"/>
      <c r="X135" s="3"/>
      <c r="Y135" s="3"/>
      <c r="Z135" s="3"/>
    </row>
    <row r="136" spans="1:26" ht="15.75" customHeight="1">
      <c r="A136" s="3"/>
      <c r="B136" s="3"/>
      <c r="C136" s="3"/>
      <c r="D136" s="47"/>
      <c r="E136" s="3"/>
      <c r="F136" s="3"/>
      <c r="G136" s="3"/>
      <c r="H136" s="3"/>
      <c r="I136" s="44"/>
      <c r="J136" s="3"/>
      <c r="K136" s="3"/>
      <c r="L136" s="3"/>
      <c r="M136" s="3"/>
      <c r="N136" s="3"/>
      <c r="O136" s="3"/>
      <c r="P136" s="3"/>
      <c r="Q136" s="3"/>
      <c r="R136" s="3"/>
      <c r="S136" s="3"/>
      <c r="T136" s="3"/>
      <c r="U136" s="3"/>
      <c r="V136" s="3"/>
      <c r="W136" s="3"/>
      <c r="X136" s="3"/>
      <c r="Y136" s="3"/>
      <c r="Z136" s="3"/>
    </row>
    <row r="137" spans="1:26" ht="15.75" customHeight="1">
      <c r="A137" s="3"/>
      <c r="B137" s="3"/>
      <c r="C137" s="3"/>
      <c r="D137" s="47"/>
      <c r="E137" s="3"/>
      <c r="F137" s="3"/>
      <c r="G137" s="3"/>
      <c r="H137" s="3"/>
      <c r="I137" s="44"/>
      <c r="J137" s="3"/>
      <c r="K137" s="3"/>
      <c r="L137" s="3"/>
      <c r="M137" s="3"/>
      <c r="N137" s="3"/>
      <c r="O137" s="3"/>
      <c r="P137" s="3"/>
      <c r="Q137" s="3"/>
      <c r="R137" s="3"/>
      <c r="S137" s="3"/>
      <c r="T137" s="3"/>
      <c r="U137" s="3"/>
      <c r="V137" s="3"/>
      <c r="W137" s="3"/>
      <c r="X137" s="3"/>
      <c r="Y137" s="3"/>
      <c r="Z137" s="3"/>
    </row>
    <row r="138" spans="1:26" ht="15.75" customHeight="1">
      <c r="A138" s="3"/>
      <c r="B138" s="3"/>
      <c r="C138" s="3"/>
      <c r="D138" s="47"/>
      <c r="E138" s="3"/>
      <c r="F138" s="3"/>
      <c r="G138" s="3"/>
      <c r="H138" s="3"/>
      <c r="I138" s="44"/>
      <c r="J138" s="3"/>
      <c r="K138" s="3"/>
      <c r="L138" s="3"/>
      <c r="M138" s="3"/>
      <c r="N138" s="3"/>
      <c r="O138" s="3"/>
      <c r="P138" s="3"/>
      <c r="Q138" s="3"/>
      <c r="R138" s="3"/>
      <c r="S138" s="3"/>
      <c r="T138" s="3"/>
      <c r="U138" s="3"/>
      <c r="V138" s="3"/>
      <c r="W138" s="3"/>
      <c r="X138" s="3"/>
      <c r="Y138" s="3"/>
      <c r="Z138" s="3"/>
    </row>
    <row r="139" spans="1:26" ht="15.75" customHeight="1">
      <c r="A139" s="3"/>
      <c r="B139" s="3"/>
      <c r="C139" s="3"/>
      <c r="D139" s="47"/>
      <c r="E139" s="3"/>
      <c r="F139" s="3"/>
      <c r="G139" s="3"/>
      <c r="H139" s="3"/>
      <c r="I139" s="44"/>
      <c r="J139" s="3"/>
      <c r="K139" s="3"/>
      <c r="L139" s="3"/>
      <c r="M139" s="3"/>
      <c r="N139" s="3"/>
      <c r="O139" s="3"/>
      <c r="P139" s="3"/>
      <c r="Q139" s="3"/>
      <c r="R139" s="3"/>
      <c r="S139" s="3"/>
      <c r="T139" s="3"/>
      <c r="U139" s="3"/>
      <c r="V139" s="3"/>
      <c r="W139" s="3"/>
      <c r="X139" s="3"/>
      <c r="Y139" s="3"/>
      <c r="Z139" s="3"/>
    </row>
    <row r="140" spans="1:26" ht="15.75" customHeight="1">
      <c r="A140" s="3"/>
      <c r="B140" s="3"/>
      <c r="C140" s="3"/>
      <c r="D140" s="47"/>
      <c r="E140" s="3"/>
      <c r="F140" s="3"/>
      <c r="G140" s="3"/>
      <c r="H140" s="3"/>
      <c r="I140" s="44"/>
      <c r="J140" s="3"/>
      <c r="K140" s="3"/>
      <c r="L140" s="3"/>
      <c r="M140" s="3"/>
      <c r="N140" s="3"/>
      <c r="O140" s="3"/>
      <c r="P140" s="3"/>
      <c r="Q140" s="3"/>
      <c r="R140" s="3"/>
      <c r="S140" s="3"/>
      <c r="T140" s="3"/>
      <c r="U140" s="3"/>
      <c r="V140" s="3"/>
      <c r="W140" s="3"/>
      <c r="X140" s="3"/>
      <c r="Y140" s="3"/>
      <c r="Z140" s="3"/>
    </row>
    <row r="141" spans="1:26" ht="15.75" customHeight="1">
      <c r="A141" s="3"/>
      <c r="B141" s="3"/>
      <c r="C141" s="3"/>
      <c r="D141" s="47"/>
      <c r="E141" s="3"/>
      <c r="F141" s="3"/>
      <c r="G141" s="3"/>
      <c r="H141" s="3"/>
      <c r="I141" s="44"/>
      <c r="J141" s="3"/>
      <c r="K141" s="3"/>
      <c r="L141" s="3"/>
      <c r="M141" s="3"/>
      <c r="N141" s="3"/>
      <c r="O141" s="3"/>
      <c r="P141" s="3"/>
      <c r="Q141" s="3"/>
      <c r="R141" s="3"/>
      <c r="S141" s="3"/>
      <c r="T141" s="3"/>
      <c r="U141" s="3"/>
      <c r="V141" s="3"/>
      <c r="W141" s="3"/>
      <c r="X141" s="3"/>
      <c r="Y141" s="3"/>
      <c r="Z141" s="3"/>
    </row>
    <row r="142" spans="1:26" ht="15.75" customHeight="1">
      <c r="A142" s="3"/>
      <c r="B142" s="3"/>
      <c r="C142" s="3"/>
      <c r="D142" s="47"/>
      <c r="E142" s="3"/>
      <c r="F142" s="3"/>
      <c r="G142" s="3"/>
      <c r="H142" s="3"/>
      <c r="I142" s="44"/>
      <c r="J142" s="3"/>
      <c r="K142" s="3"/>
      <c r="L142" s="3"/>
      <c r="M142" s="3"/>
      <c r="N142" s="3"/>
      <c r="O142" s="3"/>
      <c r="P142" s="3"/>
      <c r="Q142" s="3"/>
      <c r="R142" s="3"/>
      <c r="S142" s="3"/>
      <c r="T142" s="3"/>
      <c r="U142" s="3"/>
      <c r="V142" s="3"/>
      <c r="W142" s="3"/>
      <c r="X142" s="3"/>
      <c r="Y142" s="3"/>
      <c r="Z142" s="3"/>
    </row>
    <row r="143" spans="1:26" ht="15.75" customHeight="1">
      <c r="A143" s="3"/>
      <c r="B143" s="3"/>
      <c r="C143" s="3"/>
      <c r="D143" s="47"/>
      <c r="E143" s="3"/>
      <c r="F143" s="3"/>
      <c r="G143" s="3"/>
      <c r="H143" s="3"/>
      <c r="I143" s="44"/>
      <c r="J143" s="3"/>
      <c r="K143" s="3"/>
      <c r="L143" s="3"/>
      <c r="M143" s="3"/>
      <c r="N143" s="3"/>
      <c r="O143" s="3"/>
      <c r="P143" s="3"/>
      <c r="Q143" s="3"/>
      <c r="R143" s="3"/>
      <c r="S143" s="3"/>
      <c r="T143" s="3"/>
      <c r="U143" s="3"/>
      <c r="V143" s="3"/>
      <c r="W143" s="3"/>
      <c r="X143" s="3"/>
      <c r="Y143" s="3"/>
      <c r="Z143" s="3"/>
    </row>
    <row r="144" spans="1:26" ht="15.75" customHeight="1">
      <c r="A144" s="3"/>
      <c r="B144" s="3"/>
      <c r="C144" s="3"/>
      <c r="D144" s="47"/>
      <c r="E144" s="3"/>
      <c r="F144" s="3"/>
      <c r="G144" s="3"/>
      <c r="H144" s="3"/>
      <c r="I144" s="44"/>
      <c r="J144" s="3"/>
      <c r="K144" s="3"/>
      <c r="L144" s="3"/>
      <c r="M144" s="3"/>
      <c r="N144" s="3"/>
      <c r="O144" s="3"/>
      <c r="P144" s="3"/>
      <c r="Q144" s="3"/>
      <c r="R144" s="3"/>
      <c r="S144" s="3"/>
      <c r="T144" s="3"/>
      <c r="U144" s="3"/>
      <c r="V144" s="3"/>
      <c r="W144" s="3"/>
      <c r="X144" s="3"/>
      <c r="Y144" s="3"/>
      <c r="Z144" s="3"/>
    </row>
    <row r="145" spans="1:26" ht="15.75" customHeight="1">
      <c r="A145" s="3"/>
      <c r="B145" s="3"/>
      <c r="C145" s="3"/>
      <c r="D145" s="47"/>
      <c r="E145" s="3"/>
      <c r="F145" s="3"/>
      <c r="G145" s="3"/>
      <c r="H145" s="3"/>
      <c r="I145" s="44"/>
      <c r="J145" s="3"/>
      <c r="K145" s="3"/>
      <c r="L145" s="3"/>
      <c r="M145" s="3"/>
      <c r="N145" s="3"/>
      <c r="O145" s="3"/>
      <c r="P145" s="3"/>
      <c r="Q145" s="3"/>
      <c r="R145" s="3"/>
      <c r="S145" s="3"/>
      <c r="T145" s="3"/>
      <c r="U145" s="3"/>
      <c r="V145" s="3"/>
      <c r="W145" s="3"/>
      <c r="X145" s="3"/>
      <c r="Y145" s="3"/>
      <c r="Z145" s="3"/>
    </row>
    <row r="146" spans="1:26" ht="15.75" customHeight="1">
      <c r="A146" s="3"/>
      <c r="B146" s="3"/>
      <c r="C146" s="3"/>
      <c r="D146" s="47"/>
      <c r="E146" s="3"/>
      <c r="F146" s="3"/>
      <c r="G146" s="3"/>
      <c r="H146" s="3"/>
      <c r="I146" s="44"/>
      <c r="J146" s="3"/>
      <c r="K146" s="3"/>
      <c r="L146" s="3"/>
      <c r="M146" s="3"/>
      <c r="N146" s="3"/>
      <c r="O146" s="3"/>
      <c r="P146" s="3"/>
      <c r="Q146" s="3"/>
      <c r="R146" s="3"/>
      <c r="S146" s="3"/>
      <c r="T146" s="3"/>
      <c r="U146" s="3"/>
      <c r="V146" s="3"/>
      <c r="W146" s="3"/>
      <c r="X146" s="3"/>
      <c r="Y146" s="3"/>
      <c r="Z146" s="3"/>
    </row>
    <row r="147" spans="1:26" ht="15.75" customHeight="1">
      <c r="A147" s="3"/>
      <c r="B147" s="3"/>
      <c r="C147" s="3"/>
      <c r="D147" s="47"/>
      <c r="E147" s="3"/>
      <c r="F147" s="3"/>
      <c r="G147" s="3"/>
      <c r="H147" s="3"/>
      <c r="I147" s="44"/>
      <c r="J147" s="3"/>
      <c r="K147" s="3"/>
      <c r="L147" s="3"/>
      <c r="M147" s="3"/>
      <c r="N147" s="3"/>
      <c r="O147" s="3"/>
      <c r="P147" s="3"/>
      <c r="Q147" s="3"/>
      <c r="R147" s="3"/>
      <c r="S147" s="3"/>
      <c r="T147" s="3"/>
      <c r="U147" s="3"/>
      <c r="V147" s="3"/>
      <c r="W147" s="3"/>
      <c r="X147" s="3"/>
      <c r="Y147" s="3"/>
      <c r="Z147" s="3"/>
    </row>
    <row r="148" spans="1:26" ht="15.75" customHeight="1">
      <c r="A148" s="3"/>
      <c r="B148" s="3"/>
      <c r="C148" s="3"/>
      <c r="D148" s="47"/>
      <c r="E148" s="3"/>
      <c r="F148" s="3"/>
      <c r="G148" s="3"/>
      <c r="H148" s="3"/>
      <c r="I148" s="44"/>
      <c r="J148" s="3"/>
      <c r="K148" s="3"/>
      <c r="L148" s="3"/>
      <c r="M148" s="3"/>
      <c r="N148" s="3"/>
      <c r="O148" s="3"/>
      <c r="P148" s="3"/>
      <c r="Q148" s="3"/>
      <c r="R148" s="3"/>
      <c r="S148" s="3"/>
      <c r="T148" s="3"/>
      <c r="U148" s="3"/>
      <c r="V148" s="3"/>
      <c r="W148" s="3"/>
      <c r="X148" s="3"/>
      <c r="Y148" s="3"/>
      <c r="Z148" s="3"/>
    </row>
    <row r="149" spans="1:26" ht="15.75" customHeight="1">
      <c r="A149" s="3"/>
      <c r="B149" s="3"/>
      <c r="C149" s="3"/>
      <c r="D149" s="47"/>
      <c r="E149" s="3"/>
      <c r="F149" s="3"/>
      <c r="G149" s="3"/>
      <c r="H149" s="3"/>
      <c r="I149" s="44"/>
      <c r="J149" s="3"/>
      <c r="K149" s="3"/>
      <c r="L149" s="3"/>
      <c r="M149" s="3"/>
      <c r="N149" s="3"/>
      <c r="O149" s="3"/>
      <c r="P149" s="3"/>
      <c r="Q149" s="3"/>
      <c r="R149" s="3"/>
      <c r="S149" s="3"/>
      <c r="T149" s="3"/>
      <c r="U149" s="3"/>
      <c r="V149" s="3"/>
      <c r="W149" s="3"/>
      <c r="X149" s="3"/>
      <c r="Y149" s="3"/>
      <c r="Z149" s="3"/>
    </row>
    <row r="150" spans="1:26" ht="15.75" customHeight="1">
      <c r="A150" s="3"/>
      <c r="B150" s="3"/>
      <c r="C150" s="3"/>
      <c r="D150" s="47"/>
      <c r="E150" s="3"/>
      <c r="F150" s="3"/>
      <c r="G150" s="3"/>
      <c r="H150" s="3"/>
      <c r="I150" s="44"/>
      <c r="J150" s="3"/>
      <c r="K150" s="3"/>
      <c r="L150" s="3"/>
      <c r="M150" s="3"/>
      <c r="N150" s="3"/>
      <c r="O150" s="3"/>
      <c r="P150" s="3"/>
      <c r="Q150" s="3"/>
      <c r="R150" s="3"/>
      <c r="S150" s="3"/>
      <c r="T150" s="3"/>
      <c r="U150" s="3"/>
      <c r="V150" s="3"/>
      <c r="W150" s="3"/>
      <c r="X150" s="3"/>
      <c r="Y150" s="3"/>
      <c r="Z150" s="3"/>
    </row>
    <row r="151" spans="1:26" ht="15.75" customHeight="1">
      <c r="A151" s="3"/>
      <c r="B151" s="3"/>
      <c r="C151" s="3"/>
      <c r="D151" s="47"/>
      <c r="E151" s="3"/>
      <c r="F151" s="3"/>
      <c r="G151" s="3"/>
      <c r="H151" s="3"/>
      <c r="I151" s="44"/>
      <c r="J151" s="3"/>
      <c r="K151" s="3"/>
      <c r="L151" s="3"/>
      <c r="M151" s="3"/>
      <c r="N151" s="3"/>
      <c r="O151" s="3"/>
      <c r="P151" s="3"/>
      <c r="Q151" s="3"/>
      <c r="R151" s="3"/>
      <c r="S151" s="3"/>
      <c r="T151" s="3"/>
      <c r="U151" s="3"/>
      <c r="V151" s="3"/>
      <c r="W151" s="3"/>
      <c r="X151" s="3"/>
      <c r="Y151" s="3"/>
      <c r="Z151" s="3"/>
    </row>
    <row r="152" spans="1:26" ht="15.75" customHeight="1">
      <c r="A152" s="3"/>
      <c r="B152" s="3"/>
      <c r="C152" s="3"/>
      <c r="D152" s="47"/>
      <c r="E152" s="3"/>
      <c r="F152" s="3"/>
      <c r="G152" s="3"/>
      <c r="H152" s="3"/>
      <c r="I152" s="44"/>
      <c r="J152" s="3"/>
      <c r="K152" s="3"/>
      <c r="L152" s="3"/>
      <c r="M152" s="3"/>
      <c r="N152" s="3"/>
      <c r="O152" s="3"/>
      <c r="P152" s="3"/>
      <c r="Q152" s="3"/>
      <c r="R152" s="3"/>
      <c r="S152" s="3"/>
      <c r="T152" s="3"/>
      <c r="U152" s="3"/>
      <c r="V152" s="3"/>
      <c r="W152" s="3"/>
      <c r="X152" s="3"/>
      <c r="Y152" s="3"/>
      <c r="Z152" s="3"/>
    </row>
    <row r="153" spans="1:26" ht="15.75" customHeight="1">
      <c r="A153" s="3"/>
      <c r="B153" s="3"/>
      <c r="C153" s="3"/>
      <c r="D153" s="47"/>
      <c r="E153" s="3"/>
      <c r="F153" s="3"/>
      <c r="G153" s="3"/>
      <c r="H153" s="3"/>
      <c r="I153" s="44"/>
      <c r="J153" s="3"/>
      <c r="K153" s="3"/>
      <c r="L153" s="3"/>
      <c r="M153" s="3"/>
      <c r="N153" s="3"/>
      <c r="O153" s="3"/>
      <c r="P153" s="3"/>
      <c r="Q153" s="3"/>
      <c r="R153" s="3"/>
      <c r="S153" s="3"/>
      <c r="T153" s="3"/>
      <c r="U153" s="3"/>
      <c r="V153" s="3"/>
      <c r="W153" s="3"/>
      <c r="X153" s="3"/>
      <c r="Y153" s="3"/>
      <c r="Z153" s="3"/>
    </row>
    <row r="154" spans="1:26" ht="15.75" customHeight="1">
      <c r="A154" s="3"/>
      <c r="B154" s="3"/>
      <c r="C154" s="3"/>
      <c r="D154" s="47"/>
      <c r="E154" s="3"/>
      <c r="F154" s="3"/>
      <c r="G154" s="3"/>
      <c r="H154" s="3"/>
      <c r="I154" s="44"/>
      <c r="J154" s="3"/>
      <c r="K154" s="3"/>
      <c r="L154" s="3"/>
      <c r="M154" s="3"/>
      <c r="N154" s="3"/>
      <c r="O154" s="3"/>
      <c r="P154" s="3"/>
      <c r="Q154" s="3"/>
      <c r="R154" s="3"/>
      <c r="S154" s="3"/>
      <c r="T154" s="3"/>
      <c r="U154" s="3"/>
      <c r="V154" s="3"/>
      <c r="W154" s="3"/>
      <c r="X154" s="3"/>
      <c r="Y154" s="3"/>
      <c r="Z154" s="3"/>
    </row>
    <row r="155" spans="1:26" ht="15.75" customHeight="1">
      <c r="A155" s="3"/>
      <c r="B155" s="3"/>
      <c r="C155" s="3"/>
      <c r="D155" s="47"/>
      <c r="E155" s="3"/>
      <c r="F155" s="3"/>
      <c r="G155" s="3"/>
      <c r="H155" s="3"/>
      <c r="I155" s="44"/>
      <c r="J155" s="3"/>
      <c r="K155" s="3"/>
      <c r="L155" s="3"/>
      <c r="M155" s="3"/>
      <c r="N155" s="3"/>
      <c r="O155" s="3"/>
      <c r="P155" s="3"/>
      <c r="Q155" s="3"/>
      <c r="R155" s="3"/>
      <c r="S155" s="3"/>
      <c r="T155" s="3"/>
      <c r="U155" s="3"/>
      <c r="V155" s="3"/>
      <c r="W155" s="3"/>
      <c r="X155" s="3"/>
      <c r="Y155" s="3"/>
      <c r="Z155" s="3"/>
    </row>
    <row r="156" spans="1:26" ht="15.75" customHeight="1">
      <c r="A156" s="3"/>
      <c r="B156" s="3"/>
      <c r="C156" s="3"/>
      <c r="D156" s="47"/>
      <c r="E156" s="3"/>
      <c r="F156" s="3"/>
      <c r="G156" s="3"/>
      <c r="H156" s="3"/>
      <c r="I156" s="44"/>
      <c r="J156" s="3"/>
      <c r="K156" s="3"/>
      <c r="L156" s="3"/>
      <c r="M156" s="3"/>
      <c r="N156" s="3"/>
      <c r="O156" s="3"/>
      <c r="P156" s="3"/>
      <c r="Q156" s="3"/>
      <c r="R156" s="3"/>
      <c r="S156" s="3"/>
      <c r="T156" s="3"/>
      <c r="U156" s="3"/>
      <c r="V156" s="3"/>
      <c r="W156" s="3"/>
      <c r="X156" s="3"/>
      <c r="Y156" s="3"/>
      <c r="Z156" s="3"/>
    </row>
    <row r="157" spans="1:26" ht="15.75" customHeight="1">
      <c r="A157" s="3"/>
      <c r="B157" s="3"/>
      <c r="C157" s="3"/>
      <c r="D157" s="47"/>
      <c r="E157" s="3"/>
      <c r="F157" s="3"/>
      <c r="G157" s="3"/>
      <c r="H157" s="3"/>
      <c r="I157" s="44"/>
      <c r="J157" s="3"/>
      <c r="K157" s="3"/>
      <c r="L157" s="3"/>
      <c r="M157" s="3"/>
      <c r="N157" s="3"/>
      <c r="O157" s="3"/>
      <c r="P157" s="3"/>
      <c r="Q157" s="3"/>
      <c r="R157" s="3"/>
      <c r="S157" s="3"/>
      <c r="T157" s="3"/>
      <c r="U157" s="3"/>
      <c r="V157" s="3"/>
      <c r="W157" s="3"/>
      <c r="X157" s="3"/>
      <c r="Y157" s="3"/>
      <c r="Z157" s="3"/>
    </row>
    <row r="158" spans="1:26" ht="15.75" customHeight="1">
      <c r="A158" s="3"/>
      <c r="B158" s="3"/>
      <c r="C158" s="3"/>
      <c r="D158" s="47"/>
      <c r="E158" s="3"/>
      <c r="F158" s="3"/>
      <c r="G158" s="3"/>
      <c r="H158" s="3"/>
      <c r="I158" s="44"/>
      <c r="J158" s="3"/>
      <c r="K158" s="3"/>
      <c r="L158" s="3"/>
      <c r="M158" s="3"/>
      <c r="N158" s="3"/>
      <c r="O158" s="3"/>
      <c r="P158" s="3"/>
      <c r="Q158" s="3"/>
      <c r="R158" s="3"/>
      <c r="S158" s="3"/>
      <c r="T158" s="3"/>
      <c r="U158" s="3"/>
      <c r="V158" s="3"/>
      <c r="W158" s="3"/>
      <c r="X158" s="3"/>
      <c r="Y158" s="3"/>
      <c r="Z158" s="3"/>
    </row>
    <row r="159" spans="1:26" ht="15.75" customHeight="1">
      <c r="A159" s="3"/>
      <c r="B159" s="3"/>
      <c r="C159" s="3"/>
      <c r="D159" s="47"/>
      <c r="E159" s="3"/>
      <c r="F159" s="3"/>
      <c r="G159" s="3"/>
      <c r="H159" s="3"/>
      <c r="I159" s="44"/>
      <c r="J159" s="3"/>
      <c r="K159" s="3"/>
      <c r="L159" s="3"/>
      <c r="M159" s="3"/>
      <c r="N159" s="3"/>
      <c r="O159" s="3"/>
      <c r="P159" s="3"/>
      <c r="Q159" s="3"/>
      <c r="R159" s="3"/>
      <c r="S159" s="3"/>
      <c r="T159" s="3"/>
      <c r="U159" s="3"/>
      <c r="V159" s="3"/>
      <c r="W159" s="3"/>
      <c r="X159" s="3"/>
      <c r="Y159" s="3"/>
      <c r="Z159" s="3"/>
    </row>
    <row r="160" spans="1:26" ht="15.75" customHeight="1">
      <c r="A160" s="3"/>
      <c r="B160" s="3"/>
      <c r="C160" s="3"/>
      <c r="D160" s="47"/>
      <c r="E160" s="3"/>
      <c r="F160" s="3"/>
      <c r="G160" s="3"/>
      <c r="H160" s="3"/>
      <c r="I160" s="44"/>
      <c r="J160" s="3"/>
      <c r="K160" s="3"/>
      <c r="L160" s="3"/>
      <c r="M160" s="3"/>
      <c r="N160" s="3"/>
      <c r="O160" s="3"/>
      <c r="P160" s="3"/>
      <c r="Q160" s="3"/>
      <c r="R160" s="3"/>
      <c r="S160" s="3"/>
      <c r="T160" s="3"/>
      <c r="U160" s="3"/>
      <c r="V160" s="3"/>
      <c r="W160" s="3"/>
      <c r="X160" s="3"/>
      <c r="Y160" s="3"/>
      <c r="Z160" s="3"/>
    </row>
    <row r="161" spans="1:26" ht="15.75" customHeight="1">
      <c r="A161" s="3"/>
      <c r="B161" s="3"/>
      <c r="C161" s="3"/>
      <c r="D161" s="47"/>
      <c r="E161" s="3"/>
      <c r="F161" s="3"/>
      <c r="G161" s="3"/>
      <c r="H161" s="3"/>
      <c r="I161" s="44"/>
      <c r="J161" s="3"/>
      <c r="K161" s="3"/>
      <c r="L161" s="3"/>
      <c r="M161" s="3"/>
      <c r="N161" s="3"/>
      <c r="O161" s="3"/>
      <c r="P161" s="3"/>
      <c r="Q161" s="3"/>
      <c r="R161" s="3"/>
      <c r="S161" s="3"/>
      <c r="T161" s="3"/>
      <c r="U161" s="3"/>
      <c r="V161" s="3"/>
      <c r="W161" s="3"/>
      <c r="X161" s="3"/>
      <c r="Y161" s="3"/>
      <c r="Z161" s="3"/>
    </row>
    <row r="162" spans="1:26" ht="15.75" customHeight="1">
      <c r="A162" s="3"/>
      <c r="B162" s="3"/>
      <c r="C162" s="3"/>
      <c r="D162" s="47"/>
      <c r="E162" s="3"/>
      <c r="F162" s="3"/>
      <c r="G162" s="3"/>
      <c r="H162" s="3"/>
      <c r="I162" s="44"/>
      <c r="J162" s="3"/>
      <c r="K162" s="3"/>
      <c r="L162" s="3"/>
      <c r="M162" s="3"/>
      <c r="N162" s="3"/>
      <c r="O162" s="3"/>
      <c r="P162" s="3"/>
      <c r="Q162" s="3"/>
      <c r="R162" s="3"/>
      <c r="S162" s="3"/>
      <c r="T162" s="3"/>
      <c r="U162" s="3"/>
      <c r="V162" s="3"/>
      <c r="W162" s="3"/>
      <c r="X162" s="3"/>
      <c r="Y162" s="3"/>
      <c r="Z162" s="3"/>
    </row>
    <row r="163" spans="1:26" ht="15.75" customHeight="1">
      <c r="A163" s="3"/>
      <c r="B163" s="3"/>
      <c r="C163" s="3"/>
      <c r="D163" s="47"/>
      <c r="E163" s="3"/>
      <c r="F163" s="3"/>
      <c r="G163" s="3"/>
      <c r="H163" s="3"/>
      <c r="I163" s="44"/>
      <c r="J163" s="3"/>
      <c r="K163" s="3"/>
      <c r="L163" s="3"/>
      <c r="M163" s="3"/>
      <c r="N163" s="3"/>
      <c r="O163" s="3"/>
      <c r="P163" s="3"/>
      <c r="Q163" s="3"/>
      <c r="R163" s="3"/>
      <c r="S163" s="3"/>
      <c r="T163" s="3"/>
      <c r="U163" s="3"/>
      <c r="V163" s="3"/>
      <c r="W163" s="3"/>
      <c r="X163" s="3"/>
      <c r="Y163" s="3"/>
      <c r="Z163" s="3"/>
    </row>
    <row r="164" spans="1:26" ht="15.75" customHeight="1">
      <c r="A164" s="3"/>
      <c r="B164" s="3"/>
      <c r="C164" s="3"/>
      <c r="D164" s="47"/>
      <c r="E164" s="3"/>
      <c r="F164" s="3"/>
      <c r="G164" s="3"/>
      <c r="H164" s="3"/>
      <c r="I164" s="44"/>
      <c r="J164" s="3"/>
      <c r="K164" s="3"/>
      <c r="L164" s="3"/>
      <c r="M164" s="3"/>
      <c r="N164" s="3"/>
      <c r="O164" s="3"/>
      <c r="P164" s="3"/>
      <c r="Q164" s="3"/>
      <c r="R164" s="3"/>
      <c r="S164" s="3"/>
      <c r="T164" s="3"/>
      <c r="U164" s="3"/>
      <c r="V164" s="3"/>
      <c r="W164" s="3"/>
      <c r="X164" s="3"/>
      <c r="Y164" s="3"/>
      <c r="Z164" s="3"/>
    </row>
    <row r="165" spans="1:26" ht="15.75" customHeight="1">
      <c r="A165" s="3"/>
      <c r="B165" s="3"/>
      <c r="C165" s="3"/>
      <c r="D165" s="47"/>
      <c r="E165" s="3"/>
      <c r="F165" s="3"/>
      <c r="G165" s="3"/>
      <c r="H165" s="3"/>
      <c r="I165" s="44"/>
      <c r="J165" s="3"/>
      <c r="K165" s="3"/>
      <c r="L165" s="3"/>
      <c r="M165" s="3"/>
      <c r="N165" s="3"/>
      <c r="O165" s="3"/>
      <c r="P165" s="3"/>
      <c r="Q165" s="3"/>
      <c r="R165" s="3"/>
      <c r="S165" s="3"/>
      <c r="T165" s="3"/>
      <c r="U165" s="3"/>
      <c r="V165" s="3"/>
      <c r="W165" s="3"/>
      <c r="X165" s="3"/>
      <c r="Y165" s="3"/>
      <c r="Z165" s="3"/>
    </row>
    <row r="166" spans="1:26" ht="15.75" customHeight="1">
      <c r="A166" s="3"/>
      <c r="B166" s="3"/>
      <c r="C166" s="3"/>
      <c r="D166" s="47"/>
      <c r="E166" s="3"/>
      <c r="F166" s="3"/>
      <c r="G166" s="3"/>
      <c r="H166" s="3"/>
      <c r="I166" s="44"/>
      <c r="J166" s="3"/>
      <c r="K166" s="3"/>
      <c r="L166" s="3"/>
      <c r="M166" s="3"/>
      <c r="N166" s="3"/>
      <c r="O166" s="3"/>
      <c r="P166" s="3"/>
      <c r="Q166" s="3"/>
      <c r="R166" s="3"/>
      <c r="S166" s="3"/>
      <c r="T166" s="3"/>
      <c r="U166" s="3"/>
      <c r="V166" s="3"/>
      <c r="W166" s="3"/>
      <c r="X166" s="3"/>
      <c r="Y166" s="3"/>
      <c r="Z166" s="3"/>
    </row>
    <row r="167" spans="1:26" ht="15.75" customHeight="1">
      <c r="A167" s="3"/>
      <c r="B167" s="3"/>
      <c r="C167" s="3"/>
      <c r="D167" s="47"/>
      <c r="E167" s="3"/>
      <c r="F167" s="3"/>
      <c r="G167" s="3"/>
      <c r="H167" s="3"/>
      <c r="I167" s="44"/>
      <c r="J167" s="3"/>
      <c r="K167" s="3"/>
      <c r="L167" s="3"/>
      <c r="M167" s="3"/>
      <c r="N167" s="3"/>
      <c r="O167" s="3"/>
      <c r="P167" s="3"/>
      <c r="Q167" s="3"/>
      <c r="R167" s="3"/>
      <c r="S167" s="3"/>
      <c r="T167" s="3"/>
      <c r="U167" s="3"/>
      <c r="V167" s="3"/>
      <c r="W167" s="3"/>
      <c r="X167" s="3"/>
      <c r="Y167" s="3"/>
      <c r="Z167" s="3"/>
    </row>
    <row r="168" spans="1:26" ht="15.75" customHeight="1">
      <c r="A168" s="3"/>
      <c r="B168" s="3"/>
      <c r="C168" s="3"/>
      <c r="D168" s="47"/>
      <c r="E168" s="3"/>
      <c r="F168" s="3"/>
      <c r="G168" s="3"/>
      <c r="H168" s="3"/>
      <c r="I168" s="44"/>
      <c r="J168" s="3"/>
      <c r="K168" s="3"/>
      <c r="L168" s="3"/>
      <c r="M168" s="3"/>
      <c r="N168" s="3"/>
      <c r="O168" s="3"/>
      <c r="P168" s="3"/>
      <c r="Q168" s="3"/>
      <c r="R168" s="3"/>
      <c r="S168" s="3"/>
      <c r="T168" s="3"/>
      <c r="U168" s="3"/>
      <c r="V168" s="3"/>
      <c r="W168" s="3"/>
      <c r="X168" s="3"/>
      <c r="Y168" s="3"/>
      <c r="Z168" s="3"/>
    </row>
    <row r="169" spans="1:26" ht="15.75" customHeight="1">
      <c r="A169" s="3"/>
      <c r="B169" s="3"/>
      <c r="C169" s="3"/>
      <c r="D169" s="47"/>
      <c r="E169" s="3"/>
      <c r="F169" s="3"/>
      <c r="G169" s="3"/>
      <c r="H169" s="3"/>
      <c r="I169" s="44"/>
      <c r="J169" s="3"/>
      <c r="K169" s="3"/>
      <c r="L169" s="3"/>
      <c r="M169" s="3"/>
      <c r="N169" s="3"/>
      <c r="O169" s="3"/>
      <c r="P169" s="3"/>
      <c r="Q169" s="3"/>
      <c r="R169" s="3"/>
      <c r="S169" s="3"/>
      <c r="T169" s="3"/>
      <c r="U169" s="3"/>
      <c r="V169" s="3"/>
      <c r="W169" s="3"/>
      <c r="X169" s="3"/>
      <c r="Y169" s="3"/>
      <c r="Z169" s="3"/>
    </row>
    <row r="170" spans="1:26" ht="15.75" customHeight="1">
      <c r="A170" s="3"/>
      <c r="B170" s="3"/>
      <c r="C170" s="3"/>
      <c r="D170" s="47"/>
      <c r="E170" s="3"/>
      <c r="F170" s="3"/>
      <c r="G170" s="3"/>
      <c r="H170" s="3"/>
      <c r="I170" s="44"/>
      <c r="J170" s="3"/>
      <c r="K170" s="3"/>
      <c r="L170" s="3"/>
      <c r="M170" s="3"/>
      <c r="N170" s="3"/>
      <c r="O170" s="3"/>
      <c r="P170" s="3"/>
      <c r="Q170" s="3"/>
      <c r="R170" s="3"/>
      <c r="S170" s="3"/>
      <c r="T170" s="3"/>
      <c r="U170" s="3"/>
      <c r="V170" s="3"/>
      <c r="W170" s="3"/>
      <c r="X170" s="3"/>
      <c r="Y170" s="3"/>
      <c r="Z170" s="3"/>
    </row>
    <row r="171" spans="1:26" ht="15.75" customHeight="1">
      <c r="A171" s="3"/>
      <c r="B171" s="3"/>
      <c r="C171" s="3"/>
      <c r="D171" s="47"/>
      <c r="E171" s="3"/>
      <c r="F171" s="3"/>
      <c r="G171" s="3"/>
      <c r="H171" s="3"/>
      <c r="I171" s="44"/>
      <c r="J171" s="3"/>
      <c r="K171" s="3"/>
      <c r="L171" s="3"/>
      <c r="M171" s="3"/>
      <c r="N171" s="3"/>
      <c r="O171" s="3"/>
      <c r="P171" s="3"/>
      <c r="Q171" s="3"/>
      <c r="R171" s="3"/>
      <c r="S171" s="3"/>
      <c r="T171" s="3"/>
      <c r="U171" s="3"/>
      <c r="V171" s="3"/>
      <c r="W171" s="3"/>
      <c r="X171" s="3"/>
      <c r="Y171" s="3"/>
      <c r="Z171" s="3"/>
    </row>
    <row r="172" spans="1:26" ht="15.75" customHeight="1">
      <c r="A172" s="3"/>
      <c r="B172" s="3"/>
      <c r="C172" s="3"/>
      <c r="D172" s="47"/>
      <c r="E172" s="3"/>
      <c r="F172" s="3"/>
      <c r="G172" s="3"/>
      <c r="H172" s="3"/>
      <c r="I172" s="44"/>
      <c r="J172" s="3"/>
      <c r="K172" s="3"/>
      <c r="L172" s="3"/>
      <c r="M172" s="3"/>
      <c r="N172" s="3"/>
      <c r="O172" s="3"/>
      <c r="P172" s="3"/>
      <c r="Q172" s="3"/>
      <c r="R172" s="3"/>
      <c r="S172" s="3"/>
      <c r="T172" s="3"/>
      <c r="U172" s="3"/>
      <c r="V172" s="3"/>
      <c r="W172" s="3"/>
      <c r="X172" s="3"/>
      <c r="Y172" s="3"/>
      <c r="Z172" s="3"/>
    </row>
    <row r="173" spans="1:26" ht="15.75" customHeight="1">
      <c r="A173" s="3"/>
      <c r="B173" s="3"/>
      <c r="C173" s="3"/>
      <c r="D173" s="47"/>
      <c r="E173" s="3"/>
      <c r="F173" s="3"/>
      <c r="G173" s="3"/>
      <c r="H173" s="3"/>
      <c r="I173" s="44"/>
      <c r="J173" s="3"/>
      <c r="K173" s="3"/>
      <c r="L173" s="3"/>
      <c r="M173" s="3"/>
      <c r="N173" s="3"/>
      <c r="O173" s="3"/>
      <c r="P173" s="3"/>
      <c r="Q173" s="3"/>
      <c r="R173" s="3"/>
      <c r="S173" s="3"/>
      <c r="T173" s="3"/>
      <c r="U173" s="3"/>
      <c r="V173" s="3"/>
      <c r="W173" s="3"/>
      <c r="X173" s="3"/>
      <c r="Y173" s="3"/>
      <c r="Z173" s="3"/>
    </row>
    <row r="174" spans="1:26" ht="15.75" customHeight="1">
      <c r="A174" s="3"/>
      <c r="B174" s="3"/>
      <c r="C174" s="3"/>
      <c r="D174" s="47"/>
      <c r="E174" s="3"/>
      <c r="F174" s="3"/>
      <c r="G174" s="3"/>
      <c r="H174" s="3"/>
      <c r="I174" s="44"/>
      <c r="J174" s="3"/>
      <c r="K174" s="3"/>
      <c r="L174" s="3"/>
      <c r="M174" s="3"/>
      <c r="N174" s="3"/>
      <c r="O174" s="3"/>
      <c r="P174" s="3"/>
      <c r="Q174" s="3"/>
      <c r="R174" s="3"/>
      <c r="S174" s="3"/>
      <c r="T174" s="3"/>
      <c r="U174" s="3"/>
      <c r="V174" s="3"/>
      <c r="W174" s="3"/>
      <c r="X174" s="3"/>
      <c r="Y174" s="3"/>
      <c r="Z174" s="3"/>
    </row>
    <row r="175" spans="1:26" ht="15.75" customHeight="1">
      <c r="A175" s="3"/>
      <c r="B175" s="3"/>
      <c r="C175" s="3"/>
      <c r="D175" s="47"/>
      <c r="E175" s="3"/>
      <c r="F175" s="3"/>
      <c r="G175" s="3"/>
      <c r="H175" s="3"/>
      <c r="I175" s="44"/>
      <c r="J175" s="3"/>
      <c r="K175" s="3"/>
      <c r="L175" s="3"/>
      <c r="M175" s="3"/>
      <c r="N175" s="3"/>
      <c r="O175" s="3"/>
      <c r="P175" s="3"/>
      <c r="Q175" s="3"/>
      <c r="R175" s="3"/>
      <c r="S175" s="3"/>
      <c r="T175" s="3"/>
      <c r="U175" s="3"/>
      <c r="V175" s="3"/>
      <c r="W175" s="3"/>
      <c r="X175" s="3"/>
      <c r="Y175" s="3"/>
      <c r="Z175" s="3"/>
    </row>
    <row r="176" spans="1:26" ht="15.75" customHeight="1">
      <c r="A176" s="3"/>
      <c r="B176" s="3"/>
      <c r="C176" s="3"/>
      <c r="D176" s="47"/>
      <c r="E176" s="3"/>
      <c r="F176" s="3"/>
      <c r="G176" s="3"/>
      <c r="H176" s="3"/>
      <c r="I176" s="44"/>
      <c r="J176" s="3"/>
      <c r="K176" s="3"/>
      <c r="L176" s="3"/>
      <c r="M176" s="3"/>
      <c r="N176" s="3"/>
      <c r="O176" s="3"/>
      <c r="P176" s="3"/>
      <c r="Q176" s="3"/>
      <c r="R176" s="3"/>
      <c r="S176" s="3"/>
      <c r="T176" s="3"/>
      <c r="U176" s="3"/>
      <c r="V176" s="3"/>
      <c r="W176" s="3"/>
      <c r="X176" s="3"/>
      <c r="Y176" s="3"/>
      <c r="Z176" s="3"/>
    </row>
    <row r="177" spans="1:26" ht="15.75" customHeight="1">
      <c r="A177" s="3"/>
      <c r="B177" s="3"/>
      <c r="C177" s="3"/>
      <c r="D177" s="47"/>
      <c r="E177" s="3"/>
      <c r="F177" s="3"/>
      <c r="G177" s="3"/>
      <c r="H177" s="3"/>
      <c r="I177" s="44"/>
      <c r="J177" s="3"/>
      <c r="K177" s="3"/>
      <c r="L177" s="3"/>
      <c r="M177" s="3"/>
      <c r="N177" s="3"/>
      <c r="O177" s="3"/>
      <c r="P177" s="3"/>
      <c r="Q177" s="3"/>
      <c r="R177" s="3"/>
      <c r="S177" s="3"/>
      <c r="T177" s="3"/>
      <c r="U177" s="3"/>
      <c r="V177" s="3"/>
      <c r="W177" s="3"/>
      <c r="X177" s="3"/>
      <c r="Y177" s="3"/>
      <c r="Z177" s="3"/>
    </row>
    <row r="178" spans="1:26" ht="15.75" customHeight="1">
      <c r="A178" s="3"/>
      <c r="B178" s="3"/>
      <c r="C178" s="3"/>
      <c r="D178" s="47"/>
      <c r="E178" s="3"/>
      <c r="F178" s="3"/>
      <c r="G178" s="3"/>
      <c r="H178" s="3"/>
      <c r="I178" s="44"/>
      <c r="J178" s="3"/>
      <c r="K178" s="3"/>
      <c r="L178" s="3"/>
      <c r="M178" s="3"/>
      <c r="N178" s="3"/>
      <c r="O178" s="3"/>
      <c r="P178" s="3"/>
      <c r="Q178" s="3"/>
      <c r="R178" s="3"/>
      <c r="S178" s="3"/>
      <c r="T178" s="3"/>
      <c r="U178" s="3"/>
      <c r="V178" s="3"/>
      <c r="W178" s="3"/>
      <c r="X178" s="3"/>
      <c r="Y178" s="3"/>
      <c r="Z178" s="3"/>
    </row>
    <row r="179" spans="1:26" ht="15.75" customHeight="1">
      <c r="A179" s="3"/>
      <c r="B179" s="3"/>
      <c r="C179" s="3"/>
      <c r="D179" s="47"/>
      <c r="E179" s="3"/>
      <c r="F179" s="3"/>
      <c r="G179" s="3"/>
      <c r="H179" s="3"/>
      <c r="I179" s="44"/>
      <c r="J179" s="3"/>
      <c r="K179" s="3"/>
      <c r="L179" s="3"/>
      <c r="M179" s="3"/>
      <c r="N179" s="3"/>
      <c r="O179" s="3"/>
      <c r="P179" s="3"/>
      <c r="Q179" s="3"/>
      <c r="R179" s="3"/>
      <c r="S179" s="3"/>
      <c r="T179" s="3"/>
      <c r="U179" s="3"/>
      <c r="V179" s="3"/>
      <c r="W179" s="3"/>
      <c r="X179" s="3"/>
      <c r="Y179" s="3"/>
      <c r="Z179" s="3"/>
    </row>
    <row r="180" spans="1:26" ht="15.75" customHeight="1">
      <c r="A180" s="3"/>
      <c r="B180" s="3"/>
      <c r="C180" s="3"/>
      <c r="D180" s="47"/>
      <c r="E180" s="3"/>
      <c r="F180" s="3"/>
      <c r="G180" s="3"/>
      <c r="H180" s="3"/>
      <c r="I180" s="44"/>
      <c r="J180" s="3"/>
      <c r="K180" s="3"/>
      <c r="L180" s="3"/>
      <c r="M180" s="3"/>
      <c r="N180" s="3"/>
      <c r="O180" s="3"/>
      <c r="P180" s="3"/>
      <c r="Q180" s="3"/>
      <c r="R180" s="3"/>
      <c r="S180" s="3"/>
      <c r="T180" s="3"/>
      <c r="U180" s="3"/>
      <c r="V180" s="3"/>
      <c r="W180" s="3"/>
      <c r="X180" s="3"/>
      <c r="Y180" s="3"/>
      <c r="Z180" s="3"/>
    </row>
    <row r="181" spans="1:26" ht="15.75" customHeight="1">
      <c r="A181" s="3"/>
      <c r="B181" s="3"/>
      <c r="C181" s="3"/>
      <c r="D181" s="47"/>
      <c r="E181" s="3"/>
      <c r="F181" s="3"/>
      <c r="G181" s="3"/>
      <c r="H181" s="3"/>
      <c r="I181" s="44"/>
      <c r="J181" s="3"/>
      <c r="K181" s="3"/>
      <c r="L181" s="3"/>
      <c r="M181" s="3"/>
      <c r="N181" s="3"/>
      <c r="O181" s="3"/>
      <c r="P181" s="3"/>
      <c r="Q181" s="3"/>
      <c r="R181" s="3"/>
      <c r="S181" s="3"/>
      <c r="T181" s="3"/>
      <c r="U181" s="3"/>
      <c r="V181" s="3"/>
      <c r="W181" s="3"/>
      <c r="X181" s="3"/>
      <c r="Y181" s="3"/>
      <c r="Z181" s="3"/>
    </row>
    <row r="182" spans="1:26" ht="15.75" customHeight="1">
      <c r="A182" s="3"/>
      <c r="B182" s="3"/>
      <c r="C182" s="3"/>
      <c r="D182" s="47"/>
      <c r="E182" s="3"/>
      <c r="F182" s="3"/>
      <c r="G182" s="3"/>
      <c r="H182" s="3"/>
      <c r="I182" s="44"/>
      <c r="J182" s="3"/>
      <c r="K182" s="3"/>
      <c r="L182" s="3"/>
      <c r="M182" s="3"/>
      <c r="N182" s="3"/>
      <c r="O182" s="3"/>
      <c r="P182" s="3"/>
      <c r="Q182" s="3"/>
      <c r="R182" s="3"/>
      <c r="S182" s="3"/>
      <c r="T182" s="3"/>
      <c r="U182" s="3"/>
      <c r="V182" s="3"/>
      <c r="W182" s="3"/>
      <c r="X182" s="3"/>
      <c r="Y182" s="3"/>
      <c r="Z182" s="3"/>
    </row>
    <row r="183" spans="1:26" ht="15.75" customHeight="1">
      <c r="A183" s="3"/>
      <c r="B183" s="3"/>
      <c r="C183" s="3"/>
      <c r="D183" s="47"/>
      <c r="E183" s="3"/>
      <c r="F183" s="3"/>
      <c r="G183" s="3"/>
      <c r="H183" s="3"/>
      <c r="I183" s="44"/>
      <c r="J183" s="3"/>
      <c r="K183" s="3"/>
      <c r="L183" s="3"/>
      <c r="M183" s="3"/>
      <c r="N183" s="3"/>
      <c r="O183" s="3"/>
      <c r="P183" s="3"/>
      <c r="Q183" s="3"/>
      <c r="R183" s="3"/>
      <c r="S183" s="3"/>
      <c r="T183" s="3"/>
      <c r="U183" s="3"/>
      <c r="V183" s="3"/>
      <c r="W183" s="3"/>
      <c r="X183" s="3"/>
      <c r="Y183" s="3"/>
      <c r="Z183" s="3"/>
    </row>
    <row r="184" spans="1:26" ht="15.75" customHeight="1">
      <c r="A184" s="3"/>
      <c r="B184" s="3"/>
      <c r="C184" s="3"/>
      <c r="D184" s="47"/>
      <c r="E184" s="3"/>
      <c r="F184" s="3"/>
      <c r="G184" s="3"/>
      <c r="H184" s="3"/>
      <c r="I184" s="44"/>
      <c r="J184" s="3"/>
      <c r="K184" s="3"/>
      <c r="L184" s="3"/>
      <c r="M184" s="3"/>
      <c r="N184" s="3"/>
      <c r="O184" s="3"/>
      <c r="P184" s="3"/>
      <c r="Q184" s="3"/>
      <c r="R184" s="3"/>
      <c r="S184" s="3"/>
      <c r="T184" s="3"/>
      <c r="U184" s="3"/>
      <c r="V184" s="3"/>
      <c r="W184" s="3"/>
      <c r="X184" s="3"/>
      <c r="Y184" s="3"/>
      <c r="Z184" s="3"/>
    </row>
    <row r="185" spans="1:26" ht="15.75" customHeight="1">
      <c r="A185" s="3"/>
      <c r="B185" s="3"/>
      <c r="C185" s="3"/>
      <c r="D185" s="47"/>
      <c r="E185" s="3"/>
      <c r="F185" s="3"/>
      <c r="G185" s="3"/>
      <c r="H185" s="3"/>
      <c r="I185" s="44"/>
      <c r="J185" s="3"/>
      <c r="K185" s="3"/>
      <c r="L185" s="3"/>
      <c r="M185" s="3"/>
      <c r="N185" s="3"/>
      <c r="O185" s="3"/>
      <c r="P185" s="3"/>
      <c r="Q185" s="3"/>
      <c r="R185" s="3"/>
      <c r="S185" s="3"/>
      <c r="T185" s="3"/>
      <c r="U185" s="3"/>
      <c r="V185" s="3"/>
      <c r="W185" s="3"/>
      <c r="X185" s="3"/>
      <c r="Y185" s="3"/>
      <c r="Z185" s="3"/>
    </row>
    <row r="186" spans="1:26" ht="15.75" customHeight="1">
      <c r="A186" s="3"/>
      <c r="B186" s="3"/>
      <c r="C186" s="3"/>
      <c r="D186" s="47"/>
      <c r="E186" s="3"/>
      <c r="F186" s="3"/>
      <c r="G186" s="3"/>
      <c r="H186" s="3"/>
      <c r="I186" s="44"/>
      <c r="J186" s="3"/>
      <c r="K186" s="3"/>
      <c r="L186" s="3"/>
      <c r="M186" s="3"/>
      <c r="N186" s="3"/>
      <c r="O186" s="3"/>
      <c r="P186" s="3"/>
      <c r="Q186" s="3"/>
      <c r="R186" s="3"/>
      <c r="S186" s="3"/>
      <c r="T186" s="3"/>
      <c r="U186" s="3"/>
      <c r="V186" s="3"/>
      <c r="W186" s="3"/>
      <c r="X186" s="3"/>
      <c r="Y186" s="3"/>
      <c r="Z186" s="3"/>
    </row>
    <row r="187" spans="1:26" ht="15.75" customHeight="1">
      <c r="A187" s="3"/>
      <c r="B187" s="3"/>
      <c r="C187" s="3"/>
      <c r="D187" s="47"/>
      <c r="E187" s="3"/>
      <c r="F187" s="3"/>
      <c r="G187" s="3"/>
      <c r="H187" s="3"/>
      <c r="I187" s="44"/>
      <c r="J187" s="3"/>
      <c r="K187" s="3"/>
      <c r="L187" s="3"/>
      <c r="M187" s="3"/>
      <c r="N187" s="3"/>
      <c r="O187" s="3"/>
      <c r="P187" s="3"/>
      <c r="Q187" s="3"/>
      <c r="R187" s="3"/>
      <c r="S187" s="3"/>
      <c r="T187" s="3"/>
      <c r="U187" s="3"/>
      <c r="V187" s="3"/>
      <c r="W187" s="3"/>
      <c r="X187" s="3"/>
      <c r="Y187" s="3"/>
      <c r="Z187" s="3"/>
    </row>
    <row r="188" spans="1:26" ht="15.75" customHeight="1">
      <c r="A188" s="3"/>
      <c r="B188" s="3"/>
      <c r="C188" s="3"/>
      <c r="D188" s="47"/>
      <c r="E188" s="3"/>
      <c r="F188" s="3"/>
      <c r="G188" s="3"/>
      <c r="H188" s="3"/>
      <c r="I188" s="44"/>
      <c r="J188" s="3"/>
      <c r="K188" s="3"/>
      <c r="L188" s="3"/>
      <c r="M188" s="3"/>
      <c r="N188" s="3"/>
      <c r="O188" s="3"/>
      <c r="P188" s="3"/>
      <c r="Q188" s="3"/>
      <c r="R188" s="3"/>
      <c r="S188" s="3"/>
      <c r="T188" s="3"/>
      <c r="U188" s="3"/>
      <c r="V188" s="3"/>
      <c r="W188" s="3"/>
      <c r="X188" s="3"/>
      <c r="Y188" s="3"/>
      <c r="Z188" s="3"/>
    </row>
    <row r="189" spans="1:26" ht="15.75" customHeight="1">
      <c r="A189" s="3"/>
      <c r="B189" s="3"/>
      <c r="C189" s="3"/>
      <c r="D189" s="47"/>
      <c r="E189" s="3"/>
      <c r="F189" s="3"/>
      <c r="G189" s="3"/>
      <c r="H189" s="3"/>
      <c r="I189" s="44"/>
      <c r="J189" s="3"/>
      <c r="K189" s="3"/>
      <c r="L189" s="3"/>
      <c r="M189" s="3"/>
      <c r="N189" s="3"/>
      <c r="O189" s="3"/>
      <c r="P189" s="3"/>
      <c r="Q189" s="3"/>
      <c r="R189" s="3"/>
      <c r="S189" s="3"/>
      <c r="T189" s="3"/>
      <c r="U189" s="3"/>
      <c r="V189" s="3"/>
      <c r="W189" s="3"/>
      <c r="X189" s="3"/>
      <c r="Y189" s="3"/>
      <c r="Z189" s="3"/>
    </row>
    <row r="190" spans="1:26" ht="15.75" customHeight="1">
      <c r="A190" s="3"/>
      <c r="B190" s="3"/>
      <c r="C190" s="3"/>
      <c r="D190" s="47"/>
      <c r="E190" s="3"/>
      <c r="F190" s="3"/>
      <c r="G190" s="3"/>
      <c r="H190" s="3"/>
      <c r="I190" s="44"/>
      <c r="J190" s="3"/>
      <c r="K190" s="3"/>
      <c r="L190" s="3"/>
      <c r="M190" s="3"/>
      <c r="N190" s="3"/>
      <c r="O190" s="3"/>
      <c r="P190" s="3"/>
      <c r="Q190" s="3"/>
      <c r="R190" s="3"/>
      <c r="S190" s="3"/>
      <c r="T190" s="3"/>
      <c r="U190" s="3"/>
      <c r="V190" s="3"/>
      <c r="W190" s="3"/>
      <c r="X190" s="3"/>
      <c r="Y190" s="3"/>
      <c r="Z190" s="3"/>
    </row>
    <row r="191" spans="1:26" ht="15.75" customHeight="1">
      <c r="A191" s="3"/>
      <c r="B191" s="3"/>
      <c r="C191" s="3"/>
      <c r="D191" s="47"/>
      <c r="E191" s="3"/>
      <c r="F191" s="3"/>
      <c r="G191" s="3"/>
      <c r="H191" s="3"/>
      <c r="I191" s="44"/>
      <c r="J191" s="3"/>
      <c r="K191" s="3"/>
      <c r="L191" s="3"/>
      <c r="M191" s="3"/>
      <c r="N191" s="3"/>
      <c r="O191" s="3"/>
      <c r="P191" s="3"/>
      <c r="Q191" s="3"/>
      <c r="R191" s="3"/>
      <c r="S191" s="3"/>
      <c r="T191" s="3"/>
      <c r="U191" s="3"/>
      <c r="V191" s="3"/>
      <c r="W191" s="3"/>
      <c r="X191" s="3"/>
      <c r="Y191" s="3"/>
      <c r="Z191" s="3"/>
    </row>
    <row r="192" spans="1:26" ht="15.75" customHeight="1">
      <c r="A192" s="3"/>
      <c r="B192" s="3"/>
      <c r="C192" s="3"/>
      <c r="D192" s="47"/>
      <c r="E192" s="3"/>
      <c r="F192" s="3"/>
      <c r="G192" s="3"/>
      <c r="H192" s="3"/>
      <c r="I192" s="44"/>
      <c r="J192" s="3"/>
      <c r="K192" s="3"/>
      <c r="L192" s="3"/>
      <c r="M192" s="3"/>
      <c r="N192" s="3"/>
      <c r="O192" s="3"/>
      <c r="P192" s="3"/>
      <c r="Q192" s="3"/>
      <c r="R192" s="3"/>
      <c r="S192" s="3"/>
      <c r="T192" s="3"/>
      <c r="U192" s="3"/>
      <c r="V192" s="3"/>
      <c r="W192" s="3"/>
      <c r="X192" s="3"/>
      <c r="Y192" s="3"/>
      <c r="Z192" s="3"/>
    </row>
    <row r="193" spans="1:26" ht="15.75" customHeight="1">
      <c r="A193" s="3"/>
      <c r="B193" s="3"/>
      <c r="C193" s="3"/>
      <c r="D193" s="47"/>
      <c r="E193" s="3"/>
      <c r="F193" s="3"/>
      <c r="G193" s="3"/>
      <c r="H193" s="3"/>
      <c r="I193" s="44"/>
      <c r="J193" s="3"/>
      <c r="K193" s="3"/>
      <c r="L193" s="3"/>
      <c r="M193" s="3"/>
      <c r="N193" s="3"/>
      <c r="O193" s="3"/>
      <c r="P193" s="3"/>
      <c r="Q193" s="3"/>
      <c r="R193" s="3"/>
      <c r="S193" s="3"/>
      <c r="T193" s="3"/>
      <c r="U193" s="3"/>
      <c r="V193" s="3"/>
      <c r="W193" s="3"/>
      <c r="X193" s="3"/>
      <c r="Y193" s="3"/>
      <c r="Z193" s="3"/>
    </row>
    <row r="194" spans="1:26" ht="15.75" customHeight="1">
      <c r="A194" s="3"/>
      <c r="B194" s="3"/>
      <c r="C194" s="3"/>
      <c r="D194" s="47"/>
      <c r="E194" s="3"/>
      <c r="F194" s="3"/>
      <c r="G194" s="3"/>
      <c r="H194" s="3"/>
      <c r="I194" s="44"/>
      <c r="J194" s="3"/>
      <c r="K194" s="3"/>
      <c r="L194" s="3"/>
      <c r="M194" s="3"/>
      <c r="N194" s="3"/>
      <c r="O194" s="3"/>
      <c r="P194" s="3"/>
      <c r="Q194" s="3"/>
      <c r="R194" s="3"/>
      <c r="S194" s="3"/>
      <c r="T194" s="3"/>
      <c r="U194" s="3"/>
      <c r="V194" s="3"/>
      <c r="W194" s="3"/>
      <c r="X194" s="3"/>
      <c r="Y194" s="3"/>
      <c r="Z194" s="3"/>
    </row>
    <row r="195" spans="1:26" ht="15.75" customHeight="1">
      <c r="A195" s="3"/>
      <c r="B195" s="3"/>
      <c r="C195" s="3"/>
      <c r="D195" s="47"/>
      <c r="E195" s="3"/>
      <c r="F195" s="3"/>
      <c r="G195" s="3"/>
      <c r="H195" s="3"/>
      <c r="I195" s="44"/>
      <c r="J195" s="3"/>
      <c r="K195" s="3"/>
      <c r="L195" s="3"/>
      <c r="M195" s="3"/>
      <c r="N195" s="3"/>
      <c r="O195" s="3"/>
      <c r="P195" s="3"/>
      <c r="Q195" s="3"/>
      <c r="R195" s="3"/>
      <c r="S195" s="3"/>
      <c r="T195" s="3"/>
      <c r="U195" s="3"/>
      <c r="V195" s="3"/>
      <c r="W195" s="3"/>
      <c r="X195" s="3"/>
      <c r="Y195" s="3"/>
      <c r="Z195" s="3"/>
    </row>
    <row r="196" spans="1:26" ht="15.75" customHeight="1">
      <c r="A196" s="3"/>
      <c r="B196" s="3"/>
      <c r="C196" s="3"/>
      <c r="D196" s="47"/>
      <c r="E196" s="3"/>
      <c r="F196" s="3"/>
      <c r="G196" s="3"/>
      <c r="H196" s="3"/>
      <c r="I196" s="44"/>
      <c r="J196" s="3"/>
      <c r="K196" s="3"/>
      <c r="L196" s="3"/>
      <c r="M196" s="3"/>
      <c r="N196" s="3"/>
      <c r="O196" s="3"/>
      <c r="P196" s="3"/>
      <c r="Q196" s="3"/>
      <c r="R196" s="3"/>
      <c r="S196" s="3"/>
      <c r="T196" s="3"/>
      <c r="U196" s="3"/>
      <c r="V196" s="3"/>
      <c r="W196" s="3"/>
      <c r="X196" s="3"/>
      <c r="Y196" s="3"/>
      <c r="Z196" s="3"/>
    </row>
    <row r="197" spans="1:26" ht="15.75" customHeight="1">
      <c r="A197" s="3"/>
      <c r="B197" s="3"/>
      <c r="C197" s="3"/>
      <c r="D197" s="47"/>
      <c r="E197" s="3"/>
      <c r="F197" s="3"/>
      <c r="G197" s="3"/>
      <c r="H197" s="3"/>
      <c r="I197" s="44"/>
      <c r="J197" s="3"/>
      <c r="K197" s="3"/>
      <c r="L197" s="3"/>
      <c r="M197" s="3"/>
      <c r="N197" s="3"/>
      <c r="O197" s="3"/>
      <c r="P197" s="3"/>
      <c r="Q197" s="3"/>
      <c r="R197" s="3"/>
      <c r="S197" s="3"/>
      <c r="T197" s="3"/>
      <c r="U197" s="3"/>
      <c r="V197" s="3"/>
      <c r="W197" s="3"/>
      <c r="X197" s="3"/>
      <c r="Y197" s="3"/>
      <c r="Z197" s="3"/>
    </row>
    <row r="198" spans="1:26" ht="15.75" customHeight="1">
      <c r="A198" s="3"/>
      <c r="B198" s="3"/>
      <c r="C198" s="3"/>
      <c r="D198" s="47"/>
      <c r="E198" s="3"/>
      <c r="F198" s="3"/>
      <c r="G198" s="3"/>
      <c r="H198" s="3"/>
      <c r="I198" s="44"/>
      <c r="J198" s="3"/>
      <c r="K198" s="3"/>
      <c r="L198" s="3"/>
      <c r="M198" s="3"/>
      <c r="N198" s="3"/>
      <c r="O198" s="3"/>
      <c r="P198" s="3"/>
      <c r="Q198" s="3"/>
      <c r="R198" s="3"/>
      <c r="S198" s="3"/>
      <c r="T198" s="3"/>
      <c r="U198" s="3"/>
      <c r="V198" s="3"/>
      <c r="W198" s="3"/>
      <c r="X198" s="3"/>
      <c r="Y198" s="3"/>
      <c r="Z198" s="3"/>
    </row>
    <row r="199" spans="1:26" ht="15.75" customHeight="1">
      <c r="A199" s="3"/>
      <c r="B199" s="3"/>
      <c r="C199" s="3"/>
      <c r="D199" s="47"/>
      <c r="E199" s="3"/>
      <c r="F199" s="3"/>
      <c r="G199" s="3"/>
      <c r="H199" s="3"/>
      <c r="I199" s="44"/>
      <c r="J199" s="3"/>
      <c r="K199" s="3"/>
      <c r="L199" s="3"/>
      <c r="M199" s="3"/>
      <c r="N199" s="3"/>
      <c r="O199" s="3"/>
      <c r="P199" s="3"/>
      <c r="Q199" s="3"/>
      <c r="R199" s="3"/>
      <c r="S199" s="3"/>
      <c r="T199" s="3"/>
      <c r="U199" s="3"/>
      <c r="V199" s="3"/>
      <c r="W199" s="3"/>
      <c r="X199" s="3"/>
      <c r="Y199" s="3"/>
      <c r="Z199" s="3"/>
    </row>
    <row r="200" spans="1:26" ht="15.75" customHeight="1">
      <c r="A200" s="3"/>
      <c r="B200" s="3"/>
      <c r="C200" s="3"/>
      <c r="D200" s="47"/>
      <c r="E200" s="3"/>
      <c r="F200" s="3"/>
      <c r="G200" s="3"/>
      <c r="H200" s="3"/>
      <c r="I200" s="44"/>
      <c r="J200" s="3"/>
      <c r="K200" s="3"/>
      <c r="L200" s="3"/>
      <c r="M200" s="3"/>
      <c r="N200" s="3"/>
      <c r="O200" s="3"/>
      <c r="P200" s="3"/>
      <c r="Q200" s="3"/>
      <c r="R200" s="3"/>
      <c r="S200" s="3"/>
      <c r="T200" s="3"/>
      <c r="U200" s="3"/>
      <c r="V200" s="3"/>
      <c r="W200" s="3"/>
      <c r="X200" s="3"/>
      <c r="Y200" s="3"/>
      <c r="Z200" s="3"/>
    </row>
    <row r="201" spans="1:26" ht="15.75" customHeight="1">
      <c r="A201" s="3"/>
      <c r="B201" s="3"/>
      <c r="C201" s="3"/>
      <c r="D201" s="47"/>
      <c r="E201" s="3"/>
      <c r="F201" s="3"/>
      <c r="G201" s="3"/>
      <c r="H201" s="3"/>
      <c r="I201" s="44"/>
      <c r="J201" s="3"/>
      <c r="K201" s="3"/>
      <c r="L201" s="3"/>
      <c r="M201" s="3"/>
      <c r="N201" s="3"/>
      <c r="O201" s="3"/>
      <c r="P201" s="3"/>
      <c r="Q201" s="3"/>
      <c r="R201" s="3"/>
      <c r="S201" s="3"/>
      <c r="T201" s="3"/>
      <c r="U201" s="3"/>
      <c r="V201" s="3"/>
      <c r="W201" s="3"/>
      <c r="X201" s="3"/>
      <c r="Y201" s="3"/>
      <c r="Z201" s="3"/>
    </row>
    <row r="202" spans="1:26" ht="15.75" customHeight="1">
      <c r="A202" s="3"/>
      <c r="B202" s="3"/>
      <c r="C202" s="3"/>
      <c r="D202" s="47"/>
      <c r="E202" s="3"/>
      <c r="F202" s="3"/>
      <c r="G202" s="3"/>
      <c r="H202" s="3"/>
      <c r="I202" s="44"/>
      <c r="J202" s="3"/>
      <c r="K202" s="3"/>
      <c r="L202" s="3"/>
      <c r="M202" s="3"/>
      <c r="N202" s="3"/>
      <c r="O202" s="3"/>
      <c r="P202" s="3"/>
      <c r="Q202" s="3"/>
      <c r="R202" s="3"/>
      <c r="S202" s="3"/>
      <c r="T202" s="3"/>
      <c r="U202" s="3"/>
      <c r="V202" s="3"/>
      <c r="W202" s="3"/>
      <c r="X202" s="3"/>
      <c r="Y202" s="3"/>
      <c r="Z202" s="3"/>
    </row>
    <row r="203" spans="1:26" ht="15.75" customHeight="1">
      <c r="A203" s="3"/>
      <c r="B203" s="3"/>
      <c r="C203" s="3"/>
      <c r="D203" s="47"/>
      <c r="E203" s="3"/>
      <c r="F203" s="3"/>
      <c r="G203" s="3"/>
      <c r="H203" s="3"/>
      <c r="I203" s="44"/>
      <c r="J203" s="3"/>
      <c r="K203" s="3"/>
      <c r="L203" s="3"/>
      <c r="M203" s="3"/>
      <c r="N203" s="3"/>
      <c r="O203" s="3"/>
      <c r="P203" s="3"/>
      <c r="Q203" s="3"/>
      <c r="R203" s="3"/>
      <c r="S203" s="3"/>
      <c r="T203" s="3"/>
      <c r="U203" s="3"/>
      <c r="V203" s="3"/>
      <c r="W203" s="3"/>
      <c r="X203" s="3"/>
      <c r="Y203" s="3"/>
      <c r="Z203" s="3"/>
    </row>
    <row r="204" spans="1:26" ht="15.75" customHeight="1">
      <c r="A204" s="3"/>
      <c r="B204" s="3"/>
      <c r="C204" s="3"/>
      <c r="D204" s="47"/>
      <c r="E204" s="3"/>
      <c r="F204" s="3"/>
      <c r="G204" s="3"/>
      <c r="H204" s="3"/>
      <c r="I204" s="44"/>
      <c r="J204" s="3"/>
      <c r="K204" s="3"/>
      <c r="L204" s="3"/>
      <c r="M204" s="3"/>
      <c r="N204" s="3"/>
      <c r="O204" s="3"/>
      <c r="P204" s="3"/>
      <c r="Q204" s="3"/>
      <c r="R204" s="3"/>
      <c r="S204" s="3"/>
      <c r="T204" s="3"/>
      <c r="U204" s="3"/>
      <c r="V204" s="3"/>
      <c r="W204" s="3"/>
      <c r="X204" s="3"/>
      <c r="Y204" s="3"/>
      <c r="Z204" s="3"/>
    </row>
    <row r="205" spans="1:26" ht="15.75" customHeight="1">
      <c r="A205" s="3"/>
      <c r="B205" s="3"/>
      <c r="C205" s="3"/>
      <c r="D205" s="47"/>
      <c r="E205" s="3"/>
      <c r="F205" s="3"/>
      <c r="G205" s="3"/>
      <c r="H205" s="3"/>
      <c r="I205" s="44"/>
      <c r="J205" s="3"/>
      <c r="K205" s="3"/>
      <c r="L205" s="3"/>
      <c r="M205" s="3"/>
      <c r="N205" s="3"/>
      <c r="O205" s="3"/>
      <c r="P205" s="3"/>
      <c r="Q205" s="3"/>
      <c r="R205" s="3"/>
      <c r="S205" s="3"/>
      <c r="T205" s="3"/>
      <c r="U205" s="3"/>
      <c r="V205" s="3"/>
      <c r="W205" s="3"/>
      <c r="X205" s="3"/>
      <c r="Y205" s="3"/>
      <c r="Z205" s="3"/>
    </row>
    <row r="206" spans="1:26" ht="15.75" customHeight="1">
      <c r="A206" s="3"/>
      <c r="B206" s="3"/>
      <c r="C206" s="3"/>
      <c r="D206" s="47"/>
      <c r="E206" s="3"/>
      <c r="F206" s="3"/>
      <c r="G206" s="3"/>
      <c r="H206" s="3"/>
      <c r="I206" s="44"/>
      <c r="J206" s="3"/>
      <c r="K206" s="3"/>
      <c r="L206" s="3"/>
      <c r="M206" s="3"/>
      <c r="N206" s="3"/>
      <c r="O206" s="3"/>
      <c r="P206" s="3"/>
      <c r="Q206" s="3"/>
      <c r="R206" s="3"/>
      <c r="S206" s="3"/>
      <c r="T206" s="3"/>
      <c r="U206" s="3"/>
      <c r="V206" s="3"/>
      <c r="W206" s="3"/>
      <c r="X206" s="3"/>
      <c r="Y206" s="3"/>
      <c r="Z206" s="3"/>
    </row>
    <row r="207" spans="1:26" ht="15.75" customHeight="1">
      <c r="A207" s="3"/>
      <c r="B207" s="3"/>
      <c r="C207" s="3"/>
      <c r="D207" s="47"/>
      <c r="E207" s="3"/>
      <c r="F207" s="3"/>
      <c r="G207" s="3"/>
      <c r="H207" s="3"/>
      <c r="I207" s="44"/>
      <c r="J207" s="3"/>
      <c r="K207" s="3"/>
      <c r="L207" s="3"/>
      <c r="M207" s="3"/>
      <c r="N207" s="3"/>
      <c r="O207" s="3"/>
      <c r="P207" s="3"/>
      <c r="Q207" s="3"/>
      <c r="R207" s="3"/>
      <c r="S207" s="3"/>
      <c r="T207" s="3"/>
      <c r="U207" s="3"/>
      <c r="V207" s="3"/>
      <c r="W207" s="3"/>
      <c r="X207" s="3"/>
      <c r="Y207" s="3"/>
      <c r="Z207" s="3"/>
    </row>
    <row r="208" spans="1:26" ht="15.75" customHeight="1">
      <c r="A208" s="3"/>
      <c r="B208" s="3"/>
      <c r="C208" s="3"/>
      <c r="D208" s="47"/>
      <c r="E208" s="3"/>
      <c r="F208" s="3"/>
      <c r="G208" s="3"/>
      <c r="H208" s="3"/>
      <c r="I208" s="44"/>
      <c r="J208" s="3"/>
      <c r="K208" s="3"/>
      <c r="L208" s="3"/>
      <c r="M208" s="3"/>
      <c r="N208" s="3"/>
      <c r="O208" s="3"/>
      <c r="P208" s="3"/>
      <c r="Q208" s="3"/>
      <c r="R208" s="3"/>
      <c r="S208" s="3"/>
      <c r="T208" s="3"/>
      <c r="U208" s="3"/>
      <c r="V208" s="3"/>
      <c r="W208" s="3"/>
      <c r="X208" s="3"/>
      <c r="Y208" s="3"/>
      <c r="Z208" s="3"/>
    </row>
    <row r="209" spans="1:26" ht="15.75" customHeight="1">
      <c r="A209" s="3"/>
      <c r="B209" s="3"/>
      <c r="C209" s="3"/>
      <c r="D209" s="47"/>
      <c r="E209" s="3"/>
      <c r="F209" s="3"/>
      <c r="G209" s="3"/>
      <c r="H209" s="3"/>
      <c r="I209" s="44"/>
      <c r="J209" s="3"/>
      <c r="K209" s="3"/>
      <c r="L209" s="3"/>
      <c r="M209" s="3"/>
      <c r="N209" s="3"/>
      <c r="O209" s="3"/>
      <c r="P209" s="3"/>
      <c r="Q209" s="3"/>
      <c r="R209" s="3"/>
      <c r="S209" s="3"/>
      <c r="T209" s="3"/>
      <c r="U209" s="3"/>
      <c r="V209" s="3"/>
      <c r="W209" s="3"/>
      <c r="X209" s="3"/>
      <c r="Y209" s="3"/>
      <c r="Z209" s="3"/>
    </row>
    <row r="210" spans="1:26" ht="15.75" customHeight="1">
      <c r="A210" s="3"/>
      <c r="B210" s="3"/>
      <c r="C210" s="3"/>
      <c r="D210" s="47"/>
      <c r="E210" s="3"/>
      <c r="F210" s="3"/>
      <c r="G210" s="3"/>
      <c r="H210" s="3"/>
      <c r="I210" s="44"/>
      <c r="J210" s="3"/>
      <c r="K210" s="3"/>
      <c r="L210" s="3"/>
      <c r="M210" s="3"/>
      <c r="N210" s="3"/>
      <c r="O210" s="3"/>
      <c r="P210" s="3"/>
      <c r="Q210" s="3"/>
      <c r="R210" s="3"/>
      <c r="S210" s="3"/>
      <c r="T210" s="3"/>
      <c r="U210" s="3"/>
      <c r="V210" s="3"/>
      <c r="W210" s="3"/>
      <c r="X210" s="3"/>
      <c r="Y210" s="3"/>
      <c r="Z210" s="3"/>
    </row>
    <row r="211" spans="1:26" ht="15.75" customHeight="1">
      <c r="A211" s="3"/>
      <c r="B211" s="3"/>
      <c r="C211" s="3"/>
      <c r="D211" s="47"/>
      <c r="E211" s="3"/>
      <c r="F211" s="3"/>
      <c r="G211" s="3"/>
      <c r="H211" s="3"/>
      <c r="I211" s="44"/>
      <c r="J211" s="3"/>
      <c r="K211" s="3"/>
      <c r="L211" s="3"/>
      <c r="M211" s="3"/>
      <c r="N211" s="3"/>
      <c r="O211" s="3"/>
      <c r="P211" s="3"/>
      <c r="Q211" s="3"/>
      <c r="R211" s="3"/>
      <c r="S211" s="3"/>
      <c r="T211" s="3"/>
      <c r="U211" s="3"/>
      <c r="V211" s="3"/>
      <c r="W211" s="3"/>
      <c r="X211" s="3"/>
      <c r="Y211" s="3"/>
      <c r="Z211" s="3"/>
    </row>
    <row r="212" spans="1:26" ht="15.75" customHeight="1">
      <c r="A212" s="3"/>
      <c r="B212" s="3"/>
      <c r="C212" s="3"/>
      <c r="D212" s="47"/>
      <c r="E212" s="3"/>
      <c r="F212" s="3"/>
      <c r="G212" s="3"/>
      <c r="H212" s="3"/>
      <c r="I212" s="44"/>
      <c r="J212" s="3"/>
      <c r="K212" s="3"/>
      <c r="L212" s="3"/>
      <c r="M212" s="3"/>
      <c r="N212" s="3"/>
      <c r="O212" s="3"/>
      <c r="P212" s="3"/>
      <c r="Q212" s="3"/>
      <c r="R212" s="3"/>
      <c r="S212" s="3"/>
      <c r="T212" s="3"/>
      <c r="U212" s="3"/>
      <c r="V212" s="3"/>
      <c r="W212" s="3"/>
      <c r="X212" s="3"/>
      <c r="Y212" s="3"/>
      <c r="Z212" s="3"/>
    </row>
    <row r="213" spans="1:26" ht="15.75" customHeight="1">
      <c r="A213" s="3"/>
      <c r="B213" s="3"/>
      <c r="C213" s="3"/>
      <c r="D213" s="47"/>
      <c r="E213" s="3"/>
      <c r="F213" s="3"/>
      <c r="G213" s="3"/>
      <c r="H213" s="3"/>
      <c r="I213" s="44"/>
      <c r="J213" s="3"/>
      <c r="K213" s="3"/>
      <c r="L213" s="3"/>
      <c r="M213" s="3"/>
      <c r="N213" s="3"/>
      <c r="O213" s="3"/>
      <c r="P213" s="3"/>
      <c r="Q213" s="3"/>
      <c r="R213" s="3"/>
      <c r="S213" s="3"/>
      <c r="T213" s="3"/>
      <c r="U213" s="3"/>
      <c r="V213" s="3"/>
      <c r="W213" s="3"/>
      <c r="X213" s="3"/>
      <c r="Y213" s="3"/>
      <c r="Z213" s="3"/>
    </row>
    <row r="214" spans="1:26" ht="15.75" customHeight="1">
      <c r="A214" s="3"/>
      <c r="B214" s="3"/>
      <c r="C214" s="3"/>
      <c r="D214" s="47"/>
      <c r="E214" s="3"/>
      <c r="F214" s="3"/>
      <c r="G214" s="3"/>
      <c r="H214" s="3"/>
      <c r="I214" s="44"/>
      <c r="J214" s="3"/>
      <c r="K214" s="3"/>
      <c r="L214" s="3"/>
      <c r="M214" s="3"/>
      <c r="N214" s="3"/>
      <c r="O214" s="3"/>
      <c r="P214" s="3"/>
      <c r="Q214" s="3"/>
      <c r="R214" s="3"/>
      <c r="S214" s="3"/>
      <c r="T214" s="3"/>
      <c r="U214" s="3"/>
      <c r="V214" s="3"/>
      <c r="W214" s="3"/>
      <c r="X214" s="3"/>
      <c r="Y214" s="3"/>
      <c r="Z214" s="3"/>
    </row>
    <row r="215" spans="1:26" ht="15.75" customHeight="1">
      <c r="A215" s="3"/>
      <c r="B215" s="3"/>
      <c r="C215" s="3"/>
      <c r="D215" s="47"/>
      <c r="E215" s="3"/>
      <c r="F215" s="3"/>
      <c r="G215" s="3"/>
      <c r="H215" s="3"/>
      <c r="I215" s="44"/>
      <c r="J215" s="3"/>
      <c r="K215" s="3"/>
      <c r="L215" s="3"/>
      <c r="M215" s="3"/>
      <c r="N215" s="3"/>
      <c r="O215" s="3"/>
      <c r="P215" s="3"/>
      <c r="Q215" s="3"/>
      <c r="R215" s="3"/>
      <c r="S215" s="3"/>
      <c r="T215" s="3"/>
      <c r="U215" s="3"/>
      <c r="V215" s="3"/>
      <c r="W215" s="3"/>
      <c r="X215" s="3"/>
      <c r="Y215" s="3"/>
      <c r="Z215" s="3"/>
    </row>
    <row r="216" spans="1:26" ht="15.75" customHeight="1">
      <c r="A216" s="3"/>
      <c r="B216" s="3"/>
      <c r="C216" s="3"/>
      <c r="D216" s="47"/>
      <c r="E216" s="3"/>
      <c r="F216" s="3"/>
      <c r="G216" s="3"/>
      <c r="H216" s="3"/>
      <c r="I216" s="44"/>
      <c r="J216" s="3"/>
      <c r="K216" s="3"/>
      <c r="L216" s="3"/>
      <c r="M216" s="3"/>
      <c r="N216" s="3"/>
      <c r="O216" s="3"/>
      <c r="P216" s="3"/>
      <c r="Q216" s="3"/>
      <c r="R216" s="3"/>
      <c r="S216" s="3"/>
      <c r="T216" s="3"/>
      <c r="U216" s="3"/>
      <c r="V216" s="3"/>
      <c r="W216" s="3"/>
      <c r="X216" s="3"/>
      <c r="Y216" s="3"/>
      <c r="Z216" s="3"/>
    </row>
    <row r="217" spans="1:26" ht="15.75" customHeight="1">
      <c r="A217" s="3"/>
      <c r="B217" s="3"/>
      <c r="C217" s="3"/>
      <c r="D217" s="47"/>
      <c r="E217" s="3"/>
      <c r="F217" s="3"/>
      <c r="G217" s="3"/>
      <c r="H217" s="3"/>
      <c r="I217" s="44"/>
      <c r="J217" s="3"/>
      <c r="K217" s="3"/>
      <c r="L217" s="3"/>
      <c r="M217" s="3"/>
      <c r="N217" s="3"/>
      <c r="O217" s="3"/>
      <c r="P217" s="3"/>
      <c r="Q217" s="3"/>
      <c r="R217" s="3"/>
      <c r="S217" s="3"/>
      <c r="T217" s="3"/>
      <c r="U217" s="3"/>
      <c r="V217" s="3"/>
      <c r="W217" s="3"/>
      <c r="X217" s="3"/>
      <c r="Y217" s="3"/>
      <c r="Z217" s="3"/>
    </row>
    <row r="218" spans="1:26" ht="15.75" customHeight="1">
      <c r="A218" s="3"/>
      <c r="B218" s="3"/>
      <c r="C218" s="3"/>
      <c r="D218" s="47"/>
      <c r="E218" s="3"/>
      <c r="F218" s="3"/>
      <c r="G218" s="3"/>
      <c r="H218" s="3"/>
      <c r="I218" s="44"/>
      <c r="J218" s="3"/>
      <c r="K218" s="3"/>
      <c r="L218" s="3"/>
      <c r="M218" s="3"/>
      <c r="N218" s="3"/>
      <c r="O218" s="3"/>
      <c r="P218" s="3"/>
      <c r="Q218" s="3"/>
      <c r="R218" s="3"/>
      <c r="S218" s="3"/>
      <c r="T218" s="3"/>
      <c r="U218" s="3"/>
      <c r="V218" s="3"/>
      <c r="W218" s="3"/>
      <c r="X218" s="3"/>
      <c r="Y218" s="3"/>
      <c r="Z218" s="3"/>
    </row>
    <row r="219" spans="1:26" ht="15.75" customHeight="1">
      <c r="A219" s="3"/>
      <c r="B219" s="3"/>
      <c r="C219" s="3"/>
      <c r="D219" s="47"/>
      <c r="E219" s="3"/>
      <c r="F219" s="3"/>
      <c r="G219" s="3"/>
      <c r="H219" s="3"/>
      <c r="I219" s="44"/>
      <c r="J219" s="3"/>
      <c r="K219" s="3"/>
      <c r="L219" s="3"/>
      <c r="M219" s="3"/>
      <c r="N219" s="3"/>
      <c r="O219" s="3"/>
      <c r="P219" s="3"/>
      <c r="Q219" s="3"/>
      <c r="R219" s="3"/>
      <c r="S219" s="3"/>
      <c r="T219" s="3"/>
      <c r="U219" s="3"/>
      <c r="V219" s="3"/>
      <c r="W219" s="3"/>
      <c r="X219" s="3"/>
      <c r="Y219" s="3"/>
      <c r="Z219" s="3"/>
    </row>
    <row r="220" spans="1:26" ht="15.75" customHeight="1">
      <c r="A220" s="3"/>
      <c r="B220" s="3"/>
      <c r="C220" s="3"/>
      <c r="D220" s="47"/>
      <c r="E220" s="3"/>
      <c r="F220" s="3"/>
      <c r="G220" s="3"/>
      <c r="H220" s="3"/>
      <c r="I220" s="44"/>
      <c r="J220" s="3"/>
      <c r="K220" s="3"/>
      <c r="L220" s="3"/>
      <c r="M220" s="3"/>
      <c r="N220" s="3"/>
      <c r="O220" s="3"/>
      <c r="P220" s="3"/>
      <c r="Q220" s="3"/>
      <c r="R220" s="3"/>
      <c r="S220" s="3"/>
      <c r="T220" s="3"/>
      <c r="U220" s="3"/>
      <c r="V220" s="3"/>
      <c r="W220" s="3"/>
      <c r="X220" s="3"/>
      <c r="Y220" s="3"/>
      <c r="Z220" s="3"/>
    </row>
    <row r="221" spans="1:26" ht="15.75" customHeight="1">
      <c r="A221" s="3"/>
      <c r="B221" s="3"/>
      <c r="C221" s="3"/>
      <c r="D221" s="47"/>
      <c r="E221" s="3"/>
      <c r="F221" s="3"/>
      <c r="G221" s="3"/>
      <c r="H221" s="3"/>
      <c r="I221" s="44"/>
      <c r="J221" s="3"/>
      <c r="K221" s="3"/>
      <c r="L221" s="3"/>
      <c r="M221" s="3"/>
      <c r="N221" s="3"/>
      <c r="O221" s="3"/>
      <c r="P221" s="3"/>
      <c r="Q221" s="3"/>
      <c r="R221" s="3"/>
      <c r="S221" s="3"/>
      <c r="T221" s="3"/>
      <c r="U221" s="3"/>
      <c r="V221" s="3"/>
      <c r="W221" s="3"/>
      <c r="X221" s="3"/>
      <c r="Y221" s="3"/>
      <c r="Z221" s="3"/>
    </row>
    <row r="222" spans="1:26" ht="15.75" customHeight="1">
      <c r="A222" s="3"/>
      <c r="B222" s="3"/>
      <c r="C222" s="3"/>
      <c r="D222" s="47"/>
      <c r="E222" s="3"/>
      <c r="F222" s="3"/>
      <c r="G222" s="3"/>
      <c r="H222" s="3"/>
      <c r="I222" s="44"/>
      <c r="J222" s="3"/>
      <c r="K222" s="3"/>
      <c r="L222" s="3"/>
      <c r="M222" s="3"/>
      <c r="N222" s="3"/>
      <c r="O222" s="3"/>
      <c r="P222" s="3"/>
      <c r="Q222" s="3"/>
      <c r="R222" s="3"/>
      <c r="S222" s="3"/>
      <c r="T222" s="3"/>
      <c r="U222" s="3"/>
      <c r="V222" s="3"/>
      <c r="W222" s="3"/>
      <c r="X222" s="3"/>
      <c r="Y222" s="3"/>
      <c r="Z222" s="3"/>
    </row>
    <row r="223" spans="1:26" ht="15.75" customHeight="1">
      <c r="A223" s="3"/>
      <c r="B223" s="3"/>
      <c r="C223" s="3"/>
      <c r="D223" s="47"/>
      <c r="E223" s="3"/>
      <c r="F223" s="3"/>
      <c r="G223" s="3"/>
      <c r="H223" s="3"/>
      <c r="I223" s="44"/>
      <c r="J223" s="3"/>
      <c r="K223" s="3"/>
      <c r="L223" s="3"/>
      <c r="M223" s="3"/>
      <c r="N223" s="3"/>
      <c r="O223" s="3"/>
      <c r="P223" s="3"/>
      <c r="Q223" s="3"/>
      <c r="R223" s="3"/>
      <c r="S223" s="3"/>
      <c r="T223" s="3"/>
      <c r="U223" s="3"/>
      <c r="V223" s="3"/>
      <c r="W223" s="3"/>
      <c r="X223" s="3"/>
      <c r="Y223" s="3"/>
      <c r="Z223" s="3"/>
    </row>
    <row r="224" spans="1:26" ht="15.75" customHeight="1">
      <c r="A224" s="3"/>
      <c r="B224" s="3"/>
      <c r="C224" s="3"/>
      <c r="D224" s="47"/>
      <c r="E224" s="3"/>
      <c r="F224" s="3"/>
      <c r="G224" s="3"/>
      <c r="H224" s="3"/>
      <c r="I224" s="44"/>
      <c r="J224" s="3"/>
      <c r="K224" s="3"/>
      <c r="L224" s="3"/>
      <c r="M224" s="3"/>
      <c r="N224" s="3"/>
      <c r="O224" s="3"/>
      <c r="P224" s="3"/>
      <c r="Q224" s="3"/>
      <c r="R224" s="3"/>
      <c r="S224" s="3"/>
      <c r="T224" s="3"/>
      <c r="U224" s="3"/>
      <c r="V224" s="3"/>
      <c r="W224" s="3"/>
      <c r="X224" s="3"/>
      <c r="Y224" s="3"/>
      <c r="Z224" s="3"/>
    </row>
    <row r="225" spans="1:26" ht="15.75" customHeight="1">
      <c r="A225" s="3"/>
      <c r="B225" s="3"/>
      <c r="C225" s="3"/>
      <c r="D225" s="47"/>
      <c r="E225" s="3"/>
      <c r="F225" s="3"/>
      <c r="G225" s="3"/>
      <c r="H225" s="3"/>
      <c r="I225" s="44"/>
      <c r="J225" s="3"/>
      <c r="K225" s="3"/>
      <c r="L225" s="3"/>
      <c r="M225" s="3"/>
      <c r="N225" s="3"/>
      <c r="O225" s="3"/>
      <c r="P225" s="3"/>
      <c r="Q225" s="3"/>
      <c r="R225" s="3"/>
      <c r="S225" s="3"/>
      <c r="T225" s="3"/>
      <c r="U225" s="3"/>
      <c r="V225" s="3"/>
      <c r="W225" s="3"/>
      <c r="X225" s="3"/>
      <c r="Y225" s="3"/>
      <c r="Z225" s="3"/>
    </row>
    <row r="226" spans="1:26" ht="15.75" customHeight="1">
      <c r="A226" s="3"/>
      <c r="B226" s="3"/>
      <c r="C226" s="3"/>
      <c r="D226" s="47"/>
      <c r="E226" s="3"/>
      <c r="F226" s="3"/>
      <c r="G226" s="3"/>
      <c r="H226" s="3"/>
      <c r="I226" s="44"/>
      <c r="J226" s="3"/>
      <c r="K226" s="3"/>
      <c r="L226" s="3"/>
      <c r="M226" s="3"/>
      <c r="N226" s="3"/>
      <c r="O226" s="3"/>
      <c r="P226" s="3"/>
      <c r="Q226" s="3"/>
      <c r="R226" s="3"/>
      <c r="S226" s="3"/>
      <c r="T226" s="3"/>
      <c r="U226" s="3"/>
      <c r="V226" s="3"/>
      <c r="W226" s="3"/>
      <c r="X226" s="3"/>
      <c r="Y226" s="3"/>
      <c r="Z226" s="3"/>
    </row>
    <row r="227" spans="1:26" ht="15.75" customHeight="1">
      <c r="A227" s="3"/>
      <c r="B227" s="3"/>
      <c r="C227" s="3"/>
      <c r="D227" s="47"/>
      <c r="E227" s="3"/>
      <c r="F227" s="3"/>
      <c r="G227" s="3"/>
      <c r="H227" s="3"/>
      <c r="I227" s="44"/>
      <c r="J227" s="3"/>
      <c r="K227" s="3"/>
      <c r="L227" s="3"/>
      <c r="M227" s="3"/>
      <c r="N227" s="3"/>
      <c r="O227" s="3"/>
      <c r="P227" s="3"/>
      <c r="Q227" s="3"/>
      <c r="R227" s="3"/>
      <c r="S227" s="3"/>
      <c r="T227" s="3"/>
      <c r="U227" s="3"/>
      <c r="V227" s="3"/>
      <c r="W227" s="3"/>
      <c r="X227" s="3"/>
      <c r="Y227" s="3"/>
      <c r="Z227" s="3"/>
    </row>
    <row r="228" spans="1:26" ht="15.75" customHeight="1">
      <c r="A228" s="3"/>
      <c r="B228" s="3"/>
      <c r="C228" s="3"/>
      <c r="D228" s="47"/>
      <c r="E228" s="3"/>
      <c r="F228" s="3"/>
      <c r="G228" s="3"/>
      <c r="H228" s="3"/>
      <c r="I228" s="44"/>
      <c r="J228" s="3"/>
      <c r="K228" s="3"/>
      <c r="L228" s="3"/>
      <c r="M228" s="3"/>
      <c r="N228" s="3"/>
      <c r="O228" s="3"/>
      <c r="P228" s="3"/>
      <c r="Q228" s="3"/>
      <c r="R228" s="3"/>
      <c r="S228" s="3"/>
      <c r="T228" s="3"/>
      <c r="U228" s="3"/>
      <c r="V228" s="3"/>
      <c r="W228" s="3"/>
      <c r="X228" s="3"/>
      <c r="Y228" s="3"/>
      <c r="Z228" s="3"/>
    </row>
    <row r="229" spans="1:26" ht="15.75" customHeight="1">
      <c r="A229" s="3"/>
      <c r="B229" s="3"/>
      <c r="C229" s="3"/>
      <c r="D229" s="47"/>
      <c r="E229" s="3"/>
      <c r="F229" s="3"/>
      <c r="G229" s="3"/>
      <c r="H229" s="3"/>
      <c r="I229" s="44"/>
      <c r="J229" s="3"/>
      <c r="K229" s="3"/>
      <c r="L229" s="3"/>
      <c r="M229" s="3"/>
      <c r="N229" s="3"/>
      <c r="O229" s="3"/>
      <c r="P229" s="3"/>
      <c r="Q229" s="3"/>
      <c r="R229" s="3"/>
      <c r="S229" s="3"/>
      <c r="T229" s="3"/>
      <c r="U229" s="3"/>
      <c r="V229" s="3"/>
      <c r="W229" s="3"/>
      <c r="X229" s="3"/>
      <c r="Y229" s="3"/>
      <c r="Z229" s="3"/>
    </row>
    <row r="230" spans="1:26" ht="15.75" customHeight="1">
      <c r="A230" s="3"/>
      <c r="B230" s="3"/>
      <c r="C230" s="3"/>
      <c r="D230" s="47"/>
      <c r="E230" s="3"/>
      <c r="F230" s="3"/>
      <c r="G230" s="3"/>
      <c r="H230" s="3"/>
      <c r="I230" s="44"/>
      <c r="J230" s="3"/>
      <c r="K230" s="3"/>
      <c r="L230" s="3"/>
      <c r="M230" s="3"/>
      <c r="N230" s="3"/>
      <c r="O230" s="3"/>
      <c r="P230" s="3"/>
      <c r="Q230" s="3"/>
      <c r="R230" s="3"/>
      <c r="S230" s="3"/>
      <c r="T230" s="3"/>
      <c r="U230" s="3"/>
      <c r="V230" s="3"/>
      <c r="W230" s="3"/>
      <c r="X230" s="3"/>
      <c r="Y230" s="3"/>
      <c r="Z230" s="3"/>
    </row>
    <row r="231" spans="1:26" ht="15.75" customHeight="1">
      <c r="A231" s="3"/>
      <c r="B231" s="3"/>
      <c r="C231" s="3"/>
      <c r="D231" s="47"/>
      <c r="E231" s="3"/>
      <c r="F231" s="3"/>
      <c r="G231" s="3"/>
      <c r="H231" s="3"/>
      <c r="I231" s="44"/>
      <c r="J231" s="3"/>
      <c r="K231" s="3"/>
      <c r="L231" s="3"/>
      <c r="M231" s="3"/>
      <c r="N231" s="3"/>
      <c r="O231" s="3"/>
      <c r="P231" s="3"/>
      <c r="Q231" s="3"/>
      <c r="R231" s="3"/>
      <c r="S231" s="3"/>
      <c r="T231" s="3"/>
      <c r="U231" s="3"/>
      <c r="V231" s="3"/>
      <c r="W231" s="3"/>
      <c r="X231" s="3"/>
      <c r="Y231" s="3"/>
      <c r="Z231" s="3"/>
    </row>
    <row r="232" spans="1:26" ht="15.75" customHeight="1">
      <c r="A232" s="3"/>
      <c r="B232" s="3"/>
      <c r="C232" s="3"/>
      <c r="D232" s="47"/>
      <c r="E232" s="3"/>
      <c r="F232" s="3"/>
      <c r="G232" s="3"/>
      <c r="H232" s="3"/>
      <c r="I232" s="44"/>
      <c r="J232" s="3"/>
      <c r="K232" s="3"/>
      <c r="L232" s="3"/>
      <c r="M232" s="3"/>
      <c r="N232" s="3"/>
      <c r="O232" s="3"/>
      <c r="P232" s="3"/>
      <c r="Q232" s="3"/>
      <c r="R232" s="3"/>
      <c r="S232" s="3"/>
      <c r="T232" s="3"/>
      <c r="U232" s="3"/>
      <c r="V232" s="3"/>
      <c r="W232" s="3"/>
      <c r="X232" s="3"/>
      <c r="Y232" s="3"/>
      <c r="Z232" s="3"/>
    </row>
    <row r="233" spans="1:26" ht="15.75" customHeight="1">
      <c r="A233" s="3"/>
      <c r="B233" s="3"/>
      <c r="C233" s="3"/>
      <c r="D233" s="47"/>
      <c r="E233" s="3"/>
      <c r="F233" s="3"/>
      <c r="G233" s="3"/>
      <c r="H233" s="3"/>
      <c r="I233" s="44"/>
      <c r="J233" s="3"/>
      <c r="K233" s="3"/>
      <c r="L233" s="3"/>
      <c r="M233" s="3"/>
      <c r="N233" s="3"/>
      <c r="O233" s="3"/>
      <c r="P233" s="3"/>
      <c r="Q233" s="3"/>
      <c r="R233" s="3"/>
      <c r="S233" s="3"/>
      <c r="T233" s="3"/>
      <c r="U233" s="3"/>
      <c r="V233" s="3"/>
      <c r="W233" s="3"/>
      <c r="X233" s="3"/>
      <c r="Y233" s="3"/>
      <c r="Z233" s="3"/>
    </row>
    <row r="234" spans="1:26" ht="15.75" customHeight="1">
      <c r="A234" s="3"/>
      <c r="B234" s="3"/>
      <c r="C234" s="3"/>
      <c r="D234" s="47"/>
      <c r="E234" s="3"/>
      <c r="F234" s="3"/>
      <c r="G234" s="3"/>
      <c r="H234" s="3"/>
      <c r="I234" s="44"/>
      <c r="J234" s="3"/>
      <c r="K234" s="3"/>
      <c r="L234" s="3"/>
      <c r="M234" s="3"/>
      <c r="N234" s="3"/>
      <c r="O234" s="3"/>
      <c r="P234" s="3"/>
      <c r="Q234" s="3"/>
      <c r="R234" s="3"/>
      <c r="S234" s="3"/>
      <c r="T234" s="3"/>
      <c r="U234" s="3"/>
      <c r="V234" s="3"/>
      <c r="W234" s="3"/>
      <c r="X234" s="3"/>
      <c r="Y234" s="3"/>
      <c r="Z234" s="3"/>
    </row>
    <row r="235" spans="1:26" ht="15.75" customHeight="1">
      <c r="A235" s="3"/>
      <c r="B235" s="3"/>
      <c r="C235" s="3"/>
      <c r="D235" s="47"/>
      <c r="E235" s="3"/>
      <c r="F235" s="3"/>
      <c r="G235" s="3"/>
      <c r="H235" s="3"/>
      <c r="I235" s="44"/>
      <c r="J235" s="3"/>
      <c r="K235" s="3"/>
      <c r="L235" s="3"/>
      <c r="M235" s="3"/>
      <c r="N235" s="3"/>
      <c r="O235" s="3"/>
      <c r="P235" s="3"/>
      <c r="Q235" s="3"/>
      <c r="R235" s="3"/>
      <c r="S235" s="3"/>
      <c r="T235" s="3"/>
      <c r="U235" s="3"/>
      <c r="V235" s="3"/>
      <c r="W235" s="3"/>
      <c r="X235" s="3"/>
      <c r="Y235" s="3"/>
      <c r="Z235" s="3"/>
    </row>
    <row r="236" spans="1:26" ht="15.75" customHeight="1">
      <c r="A236" s="3"/>
      <c r="B236" s="3"/>
      <c r="C236" s="3"/>
      <c r="D236" s="47"/>
      <c r="E236" s="3"/>
      <c r="F236" s="3"/>
      <c r="G236" s="3"/>
      <c r="H236" s="3"/>
      <c r="I236" s="44"/>
      <c r="J236" s="3"/>
      <c r="K236" s="3"/>
      <c r="L236" s="3"/>
      <c r="M236" s="3"/>
      <c r="N236" s="3"/>
      <c r="O236" s="3"/>
      <c r="P236" s="3"/>
      <c r="Q236" s="3"/>
      <c r="R236" s="3"/>
      <c r="S236" s="3"/>
      <c r="T236" s="3"/>
      <c r="U236" s="3"/>
      <c r="V236" s="3"/>
      <c r="W236" s="3"/>
      <c r="X236" s="3"/>
      <c r="Y236" s="3"/>
      <c r="Z236" s="3"/>
    </row>
    <row r="237" spans="1:26" ht="15.75" customHeight="1">
      <c r="A237" s="3"/>
      <c r="B237" s="3"/>
      <c r="C237" s="3"/>
      <c r="D237" s="47"/>
      <c r="E237" s="3"/>
      <c r="F237" s="3"/>
      <c r="G237" s="3"/>
      <c r="H237" s="3"/>
      <c r="I237" s="44"/>
      <c r="J237" s="3"/>
      <c r="K237" s="3"/>
      <c r="L237" s="3"/>
      <c r="M237" s="3"/>
      <c r="N237" s="3"/>
      <c r="O237" s="3"/>
      <c r="P237" s="3"/>
      <c r="Q237" s="3"/>
      <c r="R237" s="3"/>
      <c r="S237" s="3"/>
      <c r="T237" s="3"/>
      <c r="U237" s="3"/>
      <c r="V237" s="3"/>
      <c r="W237" s="3"/>
      <c r="X237" s="3"/>
      <c r="Y237" s="3"/>
      <c r="Z237" s="3"/>
    </row>
    <row r="238" spans="1:26" ht="15.75" customHeight="1">
      <c r="A238" s="3"/>
      <c r="B238" s="3"/>
      <c r="C238" s="3"/>
      <c r="D238" s="47"/>
      <c r="E238" s="3"/>
      <c r="F238" s="3"/>
      <c r="G238" s="3"/>
      <c r="H238" s="3"/>
      <c r="I238" s="44"/>
      <c r="J238" s="3"/>
      <c r="K238" s="3"/>
      <c r="L238" s="3"/>
      <c r="M238" s="3"/>
      <c r="N238" s="3"/>
      <c r="O238" s="3"/>
      <c r="P238" s="3"/>
      <c r="Q238" s="3"/>
      <c r="R238" s="3"/>
      <c r="S238" s="3"/>
      <c r="T238" s="3"/>
      <c r="U238" s="3"/>
      <c r="V238" s="3"/>
      <c r="W238" s="3"/>
      <c r="X238" s="3"/>
      <c r="Y238" s="3"/>
      <c r="Z238" s="3"/>
    </row>
    <row r="239" spans="1:26" ht="15.75" customHeight="1">
      <c r="A239" s="3"/>
      <c r="B239" s="3"/>
      <c r="C239" s="3"/>
      <c r="D239" s="47"/>
      <c r="E239" s="3"/>
      <c r="F239" s="3"/>
      <c r="G239" s="3"/>
      <c r="H239" s="3"/>
      <c r="I239" s="44"/>
      <c r="J239" s="3"/>
      <c r="K239" s="3"/>
      <c r="L239" s="3"/>
      <c r="M239" s="3"/>
      <c r="N239" s="3"/>
      <c r="O239" s="3"/>
      <c r="P239" s="3"/>
      <c r="Q239" s="3"/>
      <c r="R239" s="3"/>
      <c r="S239" s="3"/>
      <c r="T239" s="3"/>
      <c r="U239" s="3"/>
      <c r="V239" s="3"/>
      <c r="W239" s="3"/>
      <c r="X239" s="3"/>
      <c r="Y239" s="3"/>
      <c r="Z239" s="3"/>
    </row>
    <row r="240" spans="1:26" ht="15.75" customHeight="1">
      <c r="A240" s="3"/>
      <c r="B240" s="3"/>
      <c r="C240" s="3"/>
      <c r="D240" s="47"/>
      <c r="E240" s="3"/>
      <c r="F240" s="3"/>
      <c r="G240" s="3"/>
      <c r="H240" s="3"/>
      <c r="I240" s="44"/>
      <c r="J240" s="3"/>
      <c r="K240" s="3"/>
      <c r="L240" s="3"/>
      <c r="M240" s="3"/>
      <c r="N240" s="3"/>
      <c r="O240" s="3"/>
      <c r="P240" s="3"/>
      <c r="Q240" s="3"/>
      <c r="R240" s="3"/>
      <c r="S240" s="3"/>
      <c r="T240" s="3"/>
      <c r="U240" s="3"/>
      <c r="V240" s="3"/>
      <c r="W240" s="3"/>
      <c r="X240" s="3"/>
      <c r="Y240" s="3"/>
      <c r="Z240" s="3"/>
    </row>
    <row r="241" spans="1:26" ht="15.75" customHeight="1">
      <c r="A241" s="3"/>
      <c r="B241" s="3"/>
      <c r="C241" s="3"/>
      <c r="D241" s="47"/>
      <c r="E241" s="3"/>
      <c r="F241" s="3"/>
      <c r="G241" s="3"/>
      <c r="H241" s="3"/>
      <c r="I241" s="44"/>
      <c r="J241" s="3"/>
      <c r="K241" s="3"/>
      <c r="L241" s="3"/>
      <c r="M241" s="3"/>
      <c r="N241" s="3"/>
      <c r="O241" s="3"/>
      <c r="P241" s="3"/>
      <c r="Q241" s="3"/>
      <c r="R241" s="3"/>
      <c r="S241" s="3"/>
      <c r="T241" s="3"/>
      <c r="U241" s="3"/>
      <c r="V241" s="3"/>
      <c r="W241" s="3"/>
      <c r="X241" s="3"/>
      <c r="Y241" s="3"/>
      <c r="Z241" s="3"/>
    </row>
    <row r="242" spans="1:26" ht="15.75" customHeight="1">
      <c r="A242" s="3"/>
      <c r="B242" s="3"/>
      <c r="C242" s="3"/>
      <c r="D242" s="47"/>
      <c r="E242" s="3"/>
      <c r="F242" s="3"/>
      <c r="G242" s="3"/>
      <c r="H242" s="3"/>
      <c r="I242" s="44"/>
      <c r="J242" s="3"/>
      <c r="K242" s="3"/>
      <c r="L242" s="3"/>
      <c r="M242" s="3"/>
      <c r="N242" s="3"/>
      <c r="O242" s="3"/>
      <c r="P242" s="3"/>
      <c r="Q242" s="3"/>
      <c r="R242" s="3"/>
      <c r="S242" s="3"/>
      <c r="T242" s="3"/>
      <c r="U242" s="3"/>
      <c r="V242" s="3"/>
      <c r="W242" s="3"/>
      <c r="X242" s="3"/>
      <c r="Y242" s="3"/>
      <c r="Z242" s="3"/>
    </row>
    <row r="243" spans="1:26" ht="15.75" customHeight="1">
      <c r="A243" s="3"/>
      <c r="B243" s="3"/>
      <c r="C243" s="3"/>
      <c r="D243" s="47"/>
      <c r="E243" s="3"/>
      <c r="F243" s="3"/>
      <c r="G243" s="3"/>
      <c r="H243" s="3"/>
      <c r="I243" s="44"/>
      <c r="J243" s="3"/>
      <c r="K243" s="3"/>
      <c r="L243" s="3"/>
      <c r="M243" s="3"/>
      <c r="N243" s="3"/>
      <c r="O243" s="3"/>
      <c r="P243" s="3"/>
      <c r="Q243" s="3"/>
      <c r="R243" s="3"/>
      <c r="S243" s="3"/>
      <c r="T243" s="3"/>
      <c r="U243" s="3"/>
      <c r="V243" s="3"/>
      <c r="W243" s="3"/>
      <c r="X243" s="3"/>
      <c r="Y243" s="3"/>
      <c r="Z243" s="3"/>
    </row>
    <row r="244" spans="1:26" ht="15.75" customHeight="1">
      <c r="A244" s="3"/>
      <c r="B244" s="3"/>
      <c r="C244" s="3"/>
      <c r="D244" s="47"/>
      <c r="E244" s="3"/>
      <c r="F244" s="3"/>
      <c r="G244" s="3"/>
      <c r="H244" s="3"/>
      <c r="I244" s="44"/>
      <c r="J244" s="3"/>
      <c r="K244" s="3"/>
      <c r="L244" s="3"/>
      <c r="M244" s="3"/>
      <c r="N244" s="3"/>
      <c r="O244" s="3"/>
      <c r="P244" s="3"/>
      <c r="Q244" s="3"/>
      <c r="R244" s="3"/>
      <c r="S244" s="3"/>
      <c r="T244" s="3"/>
      <c r="U244" s="3"/>
      <c r="V244" s="3"/>
      <c r="W244" s="3"/>
      <c r="X244" s="3"/>
      <c r="Y244" s="3"/>
      <c r="Z244" s="3"/>
    </row>
    <row r="245" spans="1:26" ht="15.75" customHeight="1">
      <c r="A245" s="3"/>
      <c r="B245" s="3"/>
      <c r="C245" s="3"/>
      <c r="D245" s="47"/>
      <c r="E245" s="3"/>
      <c r="F245" s="3"/>
      <c r="G245" s="3"/>
      <c r="H245" s="3"/>
      <c r="I245" s="44"/>
      <c r="J245" s="3"/>
      <c r="K245" s="3"/>
      <c r="L245" s="3"/>
      <c r="M245" s="3"/>
      <c r="N245" s="3"/>
      <c r="O245" s="3"/>
      <c r="P245" s="3"/>
      <c r="Q245" s="3"/>
      <c r="R245" s="3"/>
      <c r="S245" s="3"/>
      <c r="T245" s="3"/>
      <c r="U245" s="3"/>
      <c r="V245" s="3"/>
      <c r="W245" s="3"/>
      <c r="X245" s="3"/>
      <c r="Y245" s="3"/>
      <c r="Z245" s="3"/>
    </row>
    <row r="246" spans="1:26" ht="15.75" customHeight="1">
      <c r="A246" s="3"/>
      <c r="B246" s="3"/>
      <c r="C246" s="3"/>
      <c r="D246" s="47"/>
      <c r="E246" s="3"/>
      <c r="F246" s="3"/>
      <c r="G246" s="3"/>
      <c r="H246" s="3"/>
      <c r="I246" s="44"/>
      <c r="J246" s="3"/>
      <c r="K246" s="3"/>
      <c r="L246" s="3"/>
      <c r="M246" s="3"/>
      <c r="N246" s="3"/>
      <c r="O246" s="3"/>
      <c r="P246" s="3"/>
      <c r="Q246" s="3"/>
      <c r="R246" s="3"/>
      <c r="S246" s="3"/>
      <c r="T246" s="3"/>
      <c r="U246" s="3"/>
      <c r="V246" s="3"/>
      <c r="W246" s="3"/>
      <c r="X246" s="3"/>
      <c r="Y246" s="3"/>
      <c r="Z246" s="3"/>
    </row>
    <row r="247" spans="1:26" ht="15.75" customHeight="1">
      <c r="A247" s="3"/>
      <c r="B247" s="3"/>
      <c r="C247" s="3"/>
      <c r="D247" s="47"/>
      <c r="E247" s="3"/>
      <c r="F247" s="3"/>
      <c r="G247" s="3"/>
      <c r="H247" s="3"/>
      <c r="I247" s="44"/>
      <c r="J247" s="3"/>
      <c r="K247" s="3"/>
      <c r="L247" s="3"/>
      <c r="M247" s="3"/>
      <c r="N247" s="3"/>
      <c r="O247" s="3"/>
      <c r="P247" s="3"/>
      <c r="Q247" s="3"/>
      <c r="R247" s="3"/>
      <c r="S247" s="3"/>
      <c r="T247" s="3"/>
      <c r="U247" s="3"/>
      <c r="V247" s="3"/>
      <c r="W247" s="3"/>
      <c r="X247" s="3"/>
      <c r="Y247" s="3"/>
      <c r="Z247" s="3"/>
    </row>
    <row r="248" spans="1:26" ht="15.75" customHeight="1">
      <c r="A248" s="3"/>
      <c r="B248" s="3"/>
      <c r="C248" s="3"/>
      <c r="D248" s="47"/>
      <c r="E248" s="3"/>
      <c r="F248" s="3"/>
      <c r="G248" s="3"/>
      <c r="H248" s="3"/>
      <c r="I248" s="44"/>
      <c r="J248" s="3"/>
      <c r="K248" s="3"/>
      <c r="L248" s="3"/>
      <c r="M248" s="3"/>
      <c r="N248" s="3"/>
      <c r="O248" s="3"/>
      <c r="P248" s="3"/>
      <c r="Q248" s="3"/>
      <c r="R248" s="3"/>
      <c r="S248" s="3"/>
      <c r="T248" s="3"/>
      <c r="U248" s="3"/>
      <c r="V248" s="3"/>
      <c r="W248" s="3"/>
      <c r="X248" s="3"/>
      <c r="Y248" s="3"/>
      <c r="Z248" s="3"/>
    </row>
    <row r="249" spans="1:26" ht="15.75" customHeight="1">
      <c r="A249" s="3"/>
      <c r="B249" s="3"/>
      <c r="C249" s="3"/>
      <c r="D249" s="47"/>
      <c r="E249" s="3"/>
      <c r="F249" s="3"/>
      <c r="G249" s="3"/>
      <c r="H249" s="3"/>
      <c r="I249" s="44"/>
      <c r="J249" s="3"/>
      <c r="K249" s="3"/>
      <c r="L249" s="3"/>
      <c r="M249" s="3"/>
      <c r="N249" s="3"/>
      <c r="O249" s="3"/>
      <c r="P249" s="3"/>
      <c r="Q249" s="3"/>
      <c r="R249" s="3"/>
      <c r="S249" s="3"/>
      <c r="T249" s="3"/>
      <c r="U249" s="3"/>
      <c r="V249" s="3"/>
      <c r="W249" s="3"/>
      <c r="X249" s="3"/>
      <c r="Y249" s="3"/>
      <c r="Z249" s="3"/>
    </row>
    <row r="250" spans="1:26" ht="15.75" customHeight="1">
      <c r="A250" s="3"/>
      <c r="B250" s="3"/>
      <c r="C250" s="3"/>
      <c r="D250" s="47"/>
      <c r="E250" s="3"/>
      <c r="F250" s="3"/>
      <c r="G250" s="3"/>
      <c r="H250" s="3"/>
      <c r="I250" s="44"/>
      <c r="J250" s="3"/>
      <c r="K250" s="3"/>
      <c r="L250" s="3"/>
      <c r="M250" s="3"/>
      <c r="N250" s="3"/>
      <c r="O250" s="3"/>
      <c r="P250" s="3"/>
      <c r="Q250" s="3"/>
      <c r="R250" s="3"/>
      <c r="S250" s="3"/>
      <c r="T250" s="3"/>
      <c r="U250" s="3"/>
      <c r="V250" s="3"/>
      <c r="W250" s="3"/>
      <c r="X250" s="3"/>
      <c r="Y250" s="3"/>
      <c r="Z250" s="3"/>
    </row>
    <row r="251" spans="1:26" ht="15.75" customHeight="1">
      <c r="A251" s="3"/>
      <c r="B251" s="3"/>
      <c r="C251" s="3"/>
      <c r="D251" s="47"/>
      <c r="E251" s="3"/>
      <c r="F251" s="3"/>
      <c r="G251" s="3"/>
      <c r="H251" s="3"/>
      <c r="I251" s="44"/>
      <c r="J251" s="3"/>
      <c r="K251" s="3"/>
      <c r="L251" s="3"/>
      <c r="M251" s="3"/>
      <c r="N251" s="3"/>
      <c r="O251" s="3"/>
      <c r="P251" s="3"/>
      <c r="Q251" s="3"/>
      <c r="R251" s="3"/>
      <c r="S251" s="3"/>
      <c r="T251" s="3"/>
      <c r="U251" s="3"/>
      <c r="V251" s="3"/>
      <c r="W251" s="3"/>
      <c r="X251" s="3"/>
      <c r="Y251" s="3"/>
      <c r="Z251" s="3"/>
    </row>
    <row r="252" spans="1:26" ht="15.75" customHeight="1">
      <c r="A252" s="3"/>
      <c r="B252" s="3"/>
      <c r="C252" s="3"/>
      <c r="D252" s="47"/>
      <c r="E252" s="3"/>
      <c r="F252" s="3"/>
      <c r="G252" s="3"/>
      <c r="H252" s="3"/>
      <c r="I252" s="44"/>
      <c r="J252" s="3"/>
      <c r="K252" s="3"/>
      <c r="L252" s="3"/>
      <c r="M252" s="3"/>
      <c r="N252" s="3"/>
      <c r="O252" s="3"/>
      <c r="P252" s="3"/>
      <c r="Q252" s="3"/>
      <c r="R252" s="3"/>
      <c r="S252" s="3"/>
      <c r="T252" s="3"/>
      <c r="U252" s="3"/>
      <c r="V252" s="3"/>
      <c r="W252" s="3"/>
      <c r="X252" s="3"/>
      <c r="Y252" s="3"/>
      <c r="Z252" s="3"/>
    </row>
    <row r="253" spans="1:26" ht="15.75" customHeight="1">
      <c r="A253" s="3"/>
      <c r="B253" s="3"/>
      <c r="C253" s="3"/>
      <c r="D253" s="47"/>
      <c r="E253" s="3"/>
      <c r="F253" s="3"/>
      <c r="G253" s="3"/>
      <c r="H253" s="3"/>
      <c r="I253" s="44"/>
      <c r="J253" s="3"/>
      <c r="K253" s="3"/>
      <c r="L253" s="3"/>
      <c r="M253" s="3"/>
      <c r="N253" s="3"/>
      <c r="O253" s="3"/>
      <c r="P253" s="3"/>
      <c r="Q253" s="3"/>
      <c r="R253" s="3"/>
      <c r="S253" s="3"/>
      <c r="T253" s="3"/>
      <c r="U253" s="3"/>
      <c r="V253" s="3"/>
      <c r="W253" s="3"/>
      <c r="X253" s="3"/>
      <c r="Y253" s="3"/>
      <c r="Z253" s="3"/>
    </row>
    <row r="254" spans="1:26" ht="15.75" customHeight="1">
      <c r="A254" s="3"/>
      <c r="B254" s="3"/>
      <c r="C254" s="3"/>
      <c r="D254" s="47"/>
      <c r="E254" s="3"/>
      <c r="F254" s="3"/>
      <c r="G254" s="3"/>
      <c r="H254" s="3"/>
      <c r="I254" s="44"/>
      <c r="J254" s="3"/>
      <c r="K254" s="3"/>
      <c r="L254" s="3"/>
      <c r="M254" s="3"/>
      <c r="N254" s="3"/>
      <c r="O254" s="3"/>
      <c r="P254" s="3"/>
      <c r="Q254" s="3"/>
      <c r="R254" s="3"/>
      <c r="S254" s="3"/>
      <c r="T254" s="3"/>
      <c r="U254" s="3"/>
      <c r="V254" s="3"/>
      <c r="W254" s="3"/>
      <c r="X254" s="3"/>
      <c r="Y254" s="3"/>
      <c r="Z254" s="3"/>
    </row>
    <row r="255" spans="1:26" ht="15.75" customHeight="1">
      <c r="A255" s="3"/>
      <c r="B255" s="3"/>
      <c r="C255" s="3"/>
      <c r="D255" s="47"/>
      <c r="E255" s="3"/>
      <c r="F255" s="3"/>
      <c r="G255" s="3"/>
      <c r="H255" s="3"/>
      <c r="I255" s="44"/>
      <c r="J255" s="3"/>
      <c r="K255" s="3"/>
      <c r="L255" s="3"/>
      <c r="M255" s="3"/>
      <c r="N255" s="3"/>
      <c r="O255" s="3"/>
      <c r="P255" s="3"/>
      <c r="Q255" s="3"/>
      <c r="R255" s="3"/>
      <c r="S255" s="3"/>
      <c r="T255" s="3"/>
      <c r="U255" s="3"/>
      <c r="V255" s="3"/>
      <c r="W255" s="3"/>
      <c r="X255" s="3"/>
      <c r="Y255" s="3"/>
      <c r="Z255" s="3"/>
    </row>
    <row r="256" spans="1:26" ht="15.75" customHeight="1">
      <c r="A256" s="3"/>
      <c r="B256" s="3"/>
      <c r="C256" s="3"/>
      <c r="D256" s="47"/>
      <c r="E256" s="3"/>
      <c r="F256" s="3"/>
      <c r="G256" s="3"/>
      <c r="H256" s="3"/>
      <c r="I256" s="44"/>
      <c r="J256" s="3"/>
      <c r="K256" s="3"/>
      <c r="L256" s="3"/>
      <c r="M256" s="3"/>
      <c r="N256" s="3"/>
      <c r="O256" s="3"/>
      <c r="P256" s="3"/>
      <c r="Q256" s="3"/>
      <c r="R256" s="3"/>
      <c r="S256" s="3"/>
      <c r="T256" s="3"/>
      <c r="U256" s="3"/>
      <c r="V256" s="3"/>
      <c r="W256" s="3"/>
      <c r="X256" s="3"/>
      <c r="Y256" s="3"/>
      <c r="Z256" s="3"/>
    </row>
    <row r="257" spans="1:26" ht="15.75" customHeight="1">
      <c r="A257" s="3"/>
      <c r="B257" s="3"/>
      <c r="C257" s="3"/>
      <c r="D257" s="47"/>
      <c r="E257" s="3"/>
      <c r="F257" s="3"/>
      <c r="G257" s="3"/>
      <c r="H257" s="3"/>
      <c r="I257" s="44"/>
      <c r="J257" s="3"/>
      <c r="K257" s="3"/>
      <c r="L257" s="3"/>
      <c r="M257" s="3"/>
      <c r="N257" s="3"/>
      <c r="O257" s="3"/>
      <c r="P257" s="3"/>
      <c r="Q257" s="3"/>
      <c r="R257" s="3"/>
      <c r="S257" s="3"/>
      <c r="T257" s="3"/>
      <c r="U257" s="3"/>
      <c r="V257" s="3"/>
      <c r="W257" s="3"/>
      <c r="X257" s="3"/>
      <c r="Y257" s="3"/>
      <c r="Z257" s="3"/>
    </row>
    <row r="258" spans="1:26" ht="15.75" customHeight="1">
      <c r="A258" s="3"/>
      <c r="B258" s="3"/>
      <c r="C258" s="3"/>
      <c r="D258" s="47"/>
      <c r="E258" s="3"/>
      <c r="F258" s="3"/>
      <c r="G258" s="3"/>
      <c r="H258" s="3"/>
      <c r="I258" s="44"/>
      <c r="J258" s="3"/>
      <c r="K258" s="3"/>
      <c r="L258" s="3"/>
      <c r="M258" s="3"/>
      <c r="N258" s="3"/>
      <c r="O258" s="3"/>
      <c r="P258" s="3"/>
      <c r="Q258" s="3"/>
      <c r="R258" s="3"/>
      <c r="S258" s="3"/>
      <c r="T258" s="3"/>
      <c r="U258" s="3"/>
      <c r="V258" s="3"/>
      <c r="W258" s="3"/>
      <c r="X258" s="3"/>
      <c r="Y258" s="3"/>
      <c r="Z258" s="3"/>
    </row>
    <row r="259" spans="1:26" ht="15.75" customHeight="1">
      <c r="A259" s="3"/>
      <c r="B259" s="3"/>
      <c r="C259" s="3"/>
      <c r="D259" s="47"/>
      <c r="E259" s="3"/>
      <c r="F259" s="3"/>
      <c r="G259" s="3"/>
      <c r="H259" s="3"/>
      <c r="I259" s="44"/>
      <c r="J259" s="3"/>
      <c r="K259" s="3"/>
      <c r="L259" s="3"/>
      <c r="M259" s="3"/>
      <c r="N259" s="3"/>
      <c r="O259" s="3"/>
      <c r="P259" s="3"/>
      <c r="Q259" s="3"/>
      <c r="R259" s="3"/>
      <c r="S259" s="3"/>
      <c r="T259" s="3"/>
      <c r="U259" s="3"/>
      <c r="V259" s="3"/>
      <c r="W259" s="3"/>
      <c r="X259" s="3"/>
      <c r="Y259" s="3"/>
      <c r="Z259" s="3"/>
    </row>
    <row r="260" spans="1:26" ht="15.75" customHeight="1">
      <c r="A260" s="3"/>
      <c r="B260" s="3"/>
      <c r="C260" s="3"/>
      <c r="D260" s="47"/>
      <c r="E260" s="3"/>
      <c r="F260" s="3"/>
      <c r="G260" s="3"/>
      <c r="H260" s="3"/>
      <c r="I260" s="44"/>
      <c r="J260" s="3"/>
      <c r="K260" s="3"/>
      <c r="L260" s="3"/>
      <c r="M260" s="3"/>
      <c r="N260" s="3"/>
      <c r="O260" s="3"/>
      <c r="P260" s="3"/>
      <c r="Q260" s="3"/>
      <c r="R260" s="3"/>
      <c r="S260" s="3"/>
      <c r="T260" s="3"/>
      <c r="U260" s="3"/>
      <c r="V260" s="3"/>
      <c r="W260" s="3"/>
      <c r="X260" s="3"/>
      <c r="Y260" s="3"/>
      <c r="Z260" s="3"/>
    </row>
    <row r="261" spans="1:26" ht="15.75" customHeight="1">
      <c r="A261" s="3"/>
      <c r="B261" s="3"/>
      <c r="C261" s="3"/>
      <c r="D261" s="47"/>
      <c r="E261" s="3"/>
      <c r="F261" s="3"/>
      <c r="G261" s="3"/>
      <c r="H261" s="3"/>
      <c r="I261" s="44"/>
      <c r="J261" s="3"/>
      <c r="K261" s="3"/>
      <c r="L261" s="3"/>
      <c r="M261" s="3"/>
      <c r="N261" s="3"/>
      <c r="O261" s="3"/>
      <c r="P261" s="3"/>
      <c r="Q261" s="3"/>
      <c r="R261" s="3"/>
      <c r="S261" s="3"/>
      <c r="T261" s="3"/>
      <c r="U261" s="3"/>
      <c r="V261" s="3"/>
      <c r="W261" s="3"/>
      <c r="X261" s="3"/>
      <c r="Y261" s="3"/>
      <c r="Z261" s="3"/>
    </row>
    <row r="262" spans="1:26" ht="15.75" customHeight="1">
      <c r="A262" s="3"/>
      <c r="B262" s="3"/>
      <c r="C262" s="3"/>
      <c r="D262" s="47"/>
      <c r="E262" s="3"/>
      <c r="F262" s="3"/>
      <c r="G262" s="3"/>
      <c r="H262" s="3"/>
      <c r="I262" s="44"/>
      <c r="J262" s="3"/>
      <c r="K262" s="3"/>
      <c r="L262" s="3"/>
      <c r="M262" s="3"/>
      <c r="N262" s="3"/>
      <c r="O262" s="3"/>
      <c r="P262" s="3"/>
      <c r="Q262" s="3"/>
      <c r="R262" s="3"/>
      <c r="S262" s="3"/>
      <c r="T262" s="3"/>
      <c r="U262" s="3"/>
      <c r="V262" s="3"/>
      <c r="W262" s="3"/>
      <c r="X262" s="3"/>
      <c r="Y262" s="3"/>
      <c r="Z262" s="3"/>
    </row>
    <row r="263" spans="1:26" ht="15.75" customHeight="1">
      <c r="A263" s="3"/>
      <c r="B263" s="3"/>
      <c r="C263" s="3"/>
      <c r="D263" s="47"/>
      <c r="E263" s="3"/>
      <c r="F263" s="3"/>
      <c r="G263" s="3"/>
      <c r="H263" s="3"/>
      <c r="I263" s="44"/>
      <c r="J263" s="3"/>
      <c r="K263" s="3"/>
      <c r="L263" s="3"/>
      <c r="M263" s="3"/>
      <c r="N263" s="3"/>
      <c r="O263" s="3"/>
      <c r="P263" s="3"/>
      <c r="Q263" s="3"/>
      <c r="R263" s="3"/>
      <c r="S263" s="3"/>
      <c r="T263" s="3"/>
      <c r="U263" s="3"/>
      <c r="V263" s="3"/>
      <c r="W263" s="3"/>
      <c r="X263" s="3"/>
      <c r="Y263" s="3"/>
      <c r="Z263" s="3"/>
    </row>
    <row r="264" spans="1:26" ht="15.75" customHeight="1">
      <c r="A264" s="3"/>
      <c r="B264" s="3"/>
      <c r="C264" s="3"/>
      <c r="D264" s="47"/>
      <c r="E264" s="3"/>
      <c r="F264" s="3"/>
      <c r="G264" s="3"/>
      <c r="H264" s="3"/>
      <c r="I264" s="44"/>
      <c r="J264" s="3"/>
      <c r="K264" s="3"/>
      <c r="L264" s="3"/>
      <c r="M264" s="3"/>
      <c r="N264" s="3"/>
      <c r="O264" s="3"/>
      <c r="P264" s="3"/>
      <c r="Q264" s="3"/>
      <c r="R264" s="3"/>
      <c r="S264" s="3"/>
      <c r="T264" s="3"/>
      <c r="U264" s="3"/>
      <c r="V264" s="3"/>
      <c r="W264" s="3"/>
      <c r="X264" s="3"/>
      <c r="Y264" s="3"/>
      <c r="Z264" s="3"/>
    </row>
    <row r="265" spans="1:26" ht="15.75" customHeight="1">
      <c r="A265" s="3"/>
      <c r="B265" s="3"/>
      <c r="C265" s="3"/>
      <c r="D265" s="47"/>
      <c r="E265" s="3"/>
      <c r="F265" s="3"/>
      <c r="G265" s="3"/>
      <c r="H265" s="3"/>
      <c r="I265" s="44"/>
      <c r="J265" s="3"/>
      <c r="K265" s="3"/>
      <c r="L265" s="3"/>
      <c r="M265" s="3"/>
      <c r="N265" s="3"/>
      <c r="O265" s="3"/>
      <c r="P265" s="3"/>
      <c r="Q265" s="3"/>
      <c r="R265" s="3"/>
      <c r="S265" s="3"/>
      <c r="T265" s="3"/>
      <c r="U265" s="3"/>
      <c r="V265" s="3"/>
      <c r="W265" s="3"/>
      <c r="X265" s="3"/>
      <c r="Y265" s="3"/>
      <c r="Z265" s="3"/>
    </row>
    <row r="266" spans="1:26" ht="15.75" customHeight="1">
      <c r="A266" s="3"/>
      <c r="B266" s="3"/>
      <c r="C266" s="3"/>
      <c r="D266" s="47"/>
      <c r="E266" s="3"/>
      <c r="F266" s="3"/>
      <c r="G266" s="3"/>
      <c r="H266" s="3"/>
      <c r="I266" s="44"/>
      <c r="J266" s="3"/>
      <c r="K266" s="3"/>
      <c r="L266" s="3"/>
      <c r="M266" s="3"/>
      <c r="N266" s="3"/>
      <c r="O266" s="3"/>
      <c r="P266" s="3"/>
      <c r="Q266" s="3"/>
      <c r="R266" s="3"/>
      <c r="S266" s="3"/>
      <c r="T266" s="3"/>
      <c r="U266" s="3"/>
      <c r="V266" s="3"/>
      <c r="W266" s="3"/>
      <c r="X266" s="3"/>
      <c r="Y266" s="3"/>
      <c r="Z266" s="3"/>
    </row>
    <row r="267" spans="1:26" ht="15.75" customHeight="1">
      <c r="A267" s="3"/>
      <c r="B267" s="3"/>
      <c r="C267" s="3"/>
      <c r="D267" s="47"/>
      <c r="E267" s="3"/>
      <c r="F267" s="3"/>
      <c r="G267" s="3"/>
      <c r="H267" s="3"/>
      <c r="I267" s="44"/>
      <c r="J267" s="3"/>
      <c r="K267" s="3"/>
      <c r="L267" s="3"/>
      <c r="M267" s="3"/>
      <c r="N267" s="3"/>
      <c r="O267" s="3"/>
      <c r="P267" s="3"/>
      <c r="Q267" s="3"/>
      <c r="R267" s="3"/>
      <c r="S267" s="3"/>
      <c r="T267" s="3"/>
      <c r="U267" s="3"/>
      <c r="V267" s="3"/>
      <c r="W267" s="3"/>
      <c r="X267" s="3"/>
      <c r="Y267" s="3"/>
      <c r="Z267" s="3"/>
    </row>
    <row r="268" spans="1:26" ht="15.75" customHeight="1">
      <c r="A268" s="3"/>
      <c r="B268" s="3"/>
      <c r="C268" s="3"/>
      <c r="D268" s="47"/>
      <c r="E268" s="3"/>
      <c r="F268" s="3"/>
      <c r="G268" s="3"/>
      <c r="H268" s="3"/>
      <c r="I268" s="44"/>
      <c r="J268" s="3"/>
      <c r="K268" s="3"/>
      <c r="L268" s="3"/>
      <c r="M268" s="3"/>
      <c r="N268" s="3"/>
      <c r="O268" s="3"/>
      <c r="P268" s="3"/>
      <c r="Q268" s="3"/>
      <c r="R268" s="3"/>
      <c r="S268" s="3"/>
      <c r="T268" s="3"/>
      <c r="U268" s="3"/>
      <c r="V268" s="3"/>
      <c r="W268" s="3"/>
      <c r="X268" s="3"/>
      <c r="Y268" s="3"/>
      <c r="Z268" s="3"/>
    </row>
    <row r="269" spans="1:26" ht="15.75" customHeight="1">
      <c r="A269" s="3"/>
      <c r="B269" s="3"/>
      <c r="C269" s="3"/>
      <c r="D269" s="47"/>
      <c r="E269" s="3"/>
      <c r="F269" s="3"/>
      <c r="G269" s="3"/>
      <c r="H269" s="3"/>
      <c r="I269" s="44"/>
      <c r="J269" s="3"/>
      <c r="K269" s="3"/>
      <c r="L269" s="3"/>
      <c r="M269" s="3"/>
      <c r="N269" s="3"/>
      <c r="O269" s="3"/>
      <c r="P269" s="3"/>
      <c r="Q269" s="3"/>
      <c r="R269" s="3"/>
      <c r="S269" s="3"/>
      <c r="T269" s="3"/>
      <c r="U269" s="3"/>
      <c r="V269" s="3"/>
      <c r="W269" s="3"/>
      <c r="X269" s="3"/>
      <c r="Y269" s="3"/>
      <c r="Z269" s="3"/>
    </row>
    <row r="270" spans="1:26" ht="15.75" customHeight="1">
      <c r="A270" s="3"/>
      <c r="B270" s="3"/>
      <c r="C270" s="3"/>
      <c r="D270" s="47"/>
      <c r="E270" s="3"/>
      <c r="F270" s="3"/>
      <c r="G270" s="3"/>
      <c r="H270" s="3"/>
      <c r="I270" s="44"/>
      <c r="J270" s="3"/>
      <c r="K270" s="3"/>
      <c r="L270" s="3"/>
      <c r="M270" s="3"/>
      <c r="N270" s="3"/>
      <c r="O270" s="3"/>
      <c r="P270" s="3"/>
      <c r="Q270" s="3"/>
      <c r="R270" s="3"/>
      <c r="S270" s="3"/>
      <c r="T270" s="3"/>
      <c r="U270" s="3"/>
      <c r="V270" s="3"/>
      <c r="W270" s="3"/>
      <c r="X270" s="3"/>
      <c r="Y270" s="3"/>
      <c r="Z270" s="3"/>
    </row>
    <row r="271" spans="1:26" ht="15.75" customHeight="1">
      <c r="A271" s="3"/>
      <c r="B271" s="3"/>
      <c r="C271" s="3"/>
      <c r="D271" s="47"/>
      <c r="E271" s="3"/>
      <c r="F271" s="3"/>
      <c r="G271" s="3"/>
      <c r="H271" s="3"/>
      <c r="I271" s="44"/>
      <c r="J271" s="3"/>
      <c r="K271" s="3"/>
      <c r="L271" s="3"/>
      <c r="M271" s="3"/>
      <c r="N271" s="3"/>
      <c r="O271" s="3"/>
      <c r="P271" s="3"/>
      <c r="Q271" s="3"/>
      <c r="R271" s="3"/>
      <c r="S271" s="3"/>
      <c r="T271" s="3"/>
      <c r="U271" s="3"/>
      <c r="V271" s="3"/>
      <c r="W271" s="3"/>
      <c r="X271" s="3"/>
      <c r="Y271" s="3"/>
      <c r="Z271" s="3"/>
    </row>
    <row r="272" spans="1:26" ht="15.75" customHeight="1">
      <c r="A272" s="3"/>
      <c r="B272" s="3"/>
      <c r="C272" s="3"/>
      <c r="D272" s="47"/>
      <c r="E272" s="3"/>
      <c r="F272" s="3"/>
      <c r="G272" s="3"/>
      <c r="H272" s="3"/>
      <c r="I272" s="44"/>
      <c r="J272" s="3"/>
      <c r="K272" s="3"/>
      <c r="L272" s="3"/>
      <c r="M272" s="3"/>
      <c r="N272" s="3"/>
      <c r="O272" s="3"/>
      <c r="P272" s="3"/>
      <c r="Q272" s="3"/>
      <c r="R272" s="3"/>
      <c r="S272" s="3"/>
      <c r="T272" s="3"/>
      <c r="U272" s="3"/>
      <c r="V272" s="3"/>
      <c r="W272" s="3"/>
      <c r="X272" s="3"/>
      <c r="Y272" s="3"/>
      <c r="Z272" s="3"/>
    </row>
    <row r="273" spans="1:26" ht="15.75" customHeight="1">
      <c r="A273" s="3"/>
      <c r="B273" s="3"/>
      <c r="C273" s="3"/>
      <c r="D273" s="47"/>
      <c r="E273" s="3"/>
      <c r="F273" s="3"/>
      <c r="G273" s="3"/>
      <c r="H273" s="3"/>
      <c r="I273" s="44"/>
      <c r="J273" s="3"/>
      <c r="K273" s="3"/>
      <c r="L273" s="3"/>
      <c r="M273" s="3"/>
      <c r="N273" s="3"/>
      <c r="O273" s="3"/>
      <c r="P273" s="3"/>
      <c r="Q273" s="3"/>
      <c r="R273" s="3"/>
      <c r="S273" s="3"/>
      <c r="T273" s="3"/>
      <c r="U273" s="3"/>
      <c r="V273" s="3"/>
      <c r="W273" s="3"/>
      <c r="X273" s="3"/>
      <c r="Y273" s="3"/>
      <c r="Z273" s="3"/>
    </row>
    <row r="274" spans="1:26" ht="15.75" customHeight="1">
      <c r="A274" s="3"/>
      <c r="B274" s="3"/>
      <c r="C274" s="3"/>
      <c r="D274" s="47"/>
      <c r="E274" s="3"/>
      <c r="F274" s="3"/>
      <c r="G274" s="3"/>
      <c r="H274" s="3"/>
      <c r="I274" s="44"/>
      <c r="J274" s="3"/>
      <c r="K274" s="3"/>
      <c r="L274" s="3"/>
      <c r="M274" s="3"/>
      <c r="N274" s="3"/>
      <c r="O274" s="3"/>
      <c r="P274" s="3"/>
      <c r="Q274" s="3"/>
      <c r="R274" s="3"/>
      <c r="S274" s="3"/>
      <c r="T274" s="3"/>
      <c r="U274" s="3"/>
      <c r="V274" s="3"/>
      <c r="W274" s="3"/>
      <c r="X274" s="3"/>
      <c r="Y274" s="3"/>
      <c r="Z274" s="3"/>
    </row>
    <row r="275" spans="1:26" ht="15.75" customHeight="1">
      <c r="A275" s="3"/>
      <c r="B275" s="3"/>
      <c r="C275" s="3"/>
      <c r="D275" s="47"/>
      <c r="E275" s="3"/>
      <c r="F275" s="3"/>
      <c r="G275" s="3"/>
      <c r="H275" s="3"/>
      <c r="I275" s="44"/>
      <c r="J275" s="3"/>
      <c r="K275" s="3"/>
      <c r="L275" s="3"/>
      <c r="M275" s="3"/>
      <c r="N275" s="3"/>
      <c r="O275" s="3"/>
      <c r="P275" s="3"/>
      <c r="Q275" s="3"/>
      <c r="R275" s="3"/>
      <c r="S275" s="3"/>
      <c r="T275" s="3"/>
      <c r="U275" s="3"/>
      <c r="V275" s="3"/>
      <c r="W275" s="3"/>
      <c r="X275" s="3"/>
      <c r="Y275" s="3"/>
      <c r="Z275" s="3"/>
    </row>
    <row r="276" spans="1:26" ht="15.75" customHeight="1">
      <c r="A276" s="3"/>
      <c r="B276" s="3"/>
      <c r="C276" s="3"/>
      <c r="D276" s="47"/>
      <c r="E276" s="3"/>
      <c r="F276" s="3"/>
      <c r="G276" s="3"/>
      <c r="H276" s="3"/>
      <c r="I276" s="44"/>
      <c r="J276" s="3"/>
      <c r="K276" s="3"/>
      <c r="L276" s="3"/>
      <c r="M276" s="3"/>
      <c r="N276" s="3"/>
      <c r="O276" s="3"/>
      <c r="P276" s="3"/>
      <c r="Q276" s="3"/>
      <c r="R276" s="3"/>
      <c r="S276" s="3"/>
      <c r="T276" s="3"/>
      <c r="U276" s="3"/>
      <c r="V276" s="3"/>
      <c r="W276" s="3"/>
      <c r="X276" s="3"/>
      <c r="Y276" s="3"/>
      <c r="Z276" s="3"/>
    </row>
    <row r="277" spans="1:26" ht="15.75" customHeight="1">
      <c r="A277" s="3"/>
      <c r="B277" s="3"/>
      <c r="C277" s="3"/>
      <c r="D277" s="47"/>
      <c r="E277" s="3"/>
      <c r="F277" s="3"/>
      <c r="G277" s="3"/>
      <c r="H277" s="3"/>
      <c r="I277" s="44"/>
      <c r="J277" s="3"/>
      <c r="K277" s="3"/>
      <c r="L277" s="3"/>
      <c r="M277" s="3"/>
      <c r="N277" s="3"/>
      <c r="O277" s="3"/>
      <c r="P277" s="3"/>
      <c r="Q277" s="3"/>
      <c r="R277" s="3"/>
      <c r="S277" s="3"/>
      <c r="T277" s="3"/>
      <c r="U277" s="3"/>
      <c r="V277" s="3"/>
      <c r="W277" s="3"/>
      <c r="X277" s="3"/>
      <c r="Y277" s="3"/>
      <c r="Z277" s="3"/>
    </row>
    <row r="278" spans="1:26" ht="15.75" customHeight="1">
      <c r="A278" s="3"/>
      <c r="B278" s="3"/>
      <c r="C278" s="3"/>
      <c r="D278" s="47"/>
      <c r="E278" s="3"/>
      <c r="F278" s="3"/>
      <c r="G278" s="3"/>
      <c r="H278" s="3"/>
      <c r="I278" s="44"/>
      <c r="J278" s="3"/>
      <c r="K278" s="3"/>
      <c r="L278" s="3"/>
      <c r="M278" s="3"/>
      <c r="N278" s="3"/>
      <c r="O278" s="3"/>
      <c r="P278" s="3"/>
      <c r="Q278" s="3"/>
      <c r="R278" s="3"/>
      <c r="S278" s="3"/>
      <c r="T278" s="3"/>
      <c r="U278" s="3"/>
      <c r="V278" s="3"/>
      <c r="W278" s="3"/>
      <c r="X278" s="3"/>
      <c r="Y278" s="3"/>
      <c r="Z278" s="3"/>
    </row>
    <row r="279" spans="1:26" ht="15.75" customHeight="1">
      <c r="A279" s="3"/>
      <c r="B279" s="3"/>
      <c r="C279" s="3"/>
      <c r="D279" s="47"/>
      <c r="E279" s="3"/>
      <c r="F279" s="3"/>
      <c r="G279" s="3"/>
      <c r="H279" s="3"/>
      <c r="I279" s="44"/>
      <c r="J279" s="3"/>
      <c r="K279" s="3"/>
      <c r="L279" s="3"/>
      <c r="M279" s="3"/>
      <c r="N279" s="3"/>
      <c r="O279" s="3"/>
      <c r="P279" s="3"/>
      <c r="Q279" s="3"/>
      <c r="R279" s="3"/>
      <c r="S279" s="3"/>
      <c r="T279" s="3"/>
      <c r="U279" s="3"/>
      <c r="V279" s="3"/>
      <c r="W279" s="3"/>
      <c r="X279" s="3"/>
      <c r="Y279" s="3"/>
      <c r="Z279" s="3"/>
    </row>
    <row r="280" spans="1:26" ht="15.75" customHeight="1">
      <c r="A280" s="3"/>
      <c r="B280" s="3"/>
      <c r="C280" s="3"/>
      <c r="D280" s="47"/>
      <c r="E280" s="3"/>
      <c r="F280" s="3"/>
      <c r="G280" s="3"/>
      <c r="H280" s="3"/>
      <c r="I280" s="44"/>
      <c r="J280" s="3"/>
      <c r="K280" s="3"/>
      <c r="L280" s="3"/>
      <c r="M280" s="3"/>
      <c r="N280" s="3"/>
      <c r="O280" s="3"/>
      <c r="P280" s="3"/>
      <c r="Q280" s="3"/>
      <c r="R280" s="3"/>
      <c r="S280" s="3"/>
      <c r="T280" s="3"/>
      <c r="U280" s="3"/>
      <c r="V280" s="3"/>
      <c r="W280" s="3"/>
      <c r="X280" s="3"/>
      <c r="Y280" s="3"/>
      <c r="Z280" s="3"/>
    </row>
    <row r="281" spans="1:26" ht="15.75" customHeight="1">
      <c r="A281" s="3"/>
      <c r="B281" s="3"/>
      <c r="C281" s="3"/>
      <c r="D281" s="47"/>
      <c r="E281" s="3"/>
      <c r="F281" s="3"/>
      <c r="G281" s="3"/>
      <c r="H281" s="3"/>
      <c r="I281" s="44"/>
      <c r="J281" s="3"/>
      <c r="K281" s="3"/>
      <c r="L281" s="3"/>
      <c r="M281" s="3"/>
      <c r="N281" s="3"/>
      <c r="O281" s="3"/>
      <c r="P281" s="3"/>
      <c r="Q281" s="3"/>
      <c r="R281" s="3"/>
      <c r="S281" s="3"/>
      <c r="T281" s="3"/>
      <c r="U281" s="3"/>
      <c r="V281" s="3"/>
      <c r="W281" s="3"/>
      <c r="X281" s="3"/>
      <c r="Y281" s="3"/>
      <c r="Z281" s="3"/>
    </row>
    <row r="282" spans="1:26" ht="15.75" customHeight="1">
      <c r="A282" s="3"/>
      <c r="B282" s="3"/>
      <c r="C282" s="3"/>
      <c r="D282" s="47"/>
      <c r="E282" s="3"/>
      <c r="F282" s="3"/>
      <c r="G282" s="3"/>
      <c r="H282" s="3"/>
      <c r="I282" s="44"/>
      <c r="J282" s="3"/>
      <c r="K282" s="3"/>
      <c r="L282" s="3"/>
      <c r="M282" s="3"/>
      <c r="N282" s="3"/>
      <c r="O282" s="3"/>
      <c r="P282" s="3"/>
      <c r="Q282" s="3"/>
      <c r="R282" s="3"/>
      <c r="S282" s="3"/>
      <c r="T282" s="3"/>
      <c r="U282" s="3"/>
      <c r="V282" s="3"/>
      <c r="W282" s="3"/>
      <c r="X282" s="3"/>
      <c r="Y282" s="3"/>
      <c r="Z282" s="3"/>
    </row>
    <row r="283" spans="1:26" ht="15.75" customHeight="1">
      <c r="A283" s="3"/>
      <c r="B283" s="3"/>
      <c r="C283" s="3"/>
      <c r="D283" s="47"/>
      <c r="E283" s="3"/>
      <c r="F283" s="3"/>
      <c r="G283" s="3"/>
      <c r="H283" s="3"/>
      <c r="I283" s="44"/>
      <c r="J283" s="3"/>
      <c r="K283" s="3"/>
      <c r="L283" s="3"/>
      <c r="M283" s="3"/>
      <c r="N283" s="3"/>
      <c r="O283" s="3"/>
      <c r="P283" s="3"/>
      <c r="Q283" s="3"/>
      <c r="R283" s="3"/>
      <c r="S283" s="3"/>
      <c r="T283" s="3"/>
      <c r="U283" s="3"/>
      <c r="V283" s="3"/>
      <c r="W283" s="3"/>
      <c r="X283" s="3"/>
      <c r="Y283" s="3"/>
      <c r="Z283" s="3"/>
    </row>
    <row r="284" spans="1:26" ht="15.75" customHeight="1">
      <c r="A284" s="3"/>
      <c r="B284" s="3"/>
      <c r="C284" s="3"/>
      <c r="D284" s="47"/>
      <c r="E284" s="3"/>
      <c r="F284" s="3"/>
      <c r="G284" s="3"/>
      <c r="H284" s="3"/>
      <c r="I284" s="44"/>
      <c r="J284" s="3"/>
      <c r="K284" s="3"/>
      <c r="L284" s="3"/>
      <c r="M284" s="3"/>
      <c r="N284" s="3"/>
      <c r="O284" s="3"/>
      <c r="P284" s="3"/>
      <c r="Q284" s="3"/>
      <c r="R284" s="3"/>
      <c r="S284" s="3"/>
      <c r="T284" s="3"/>
      <c r="U284" s="3"/>
      <c r="V284" s="3"/>
      <c r="W284" s="3"/>
      <c r="X284" s="3"/>
      <c r="Y284" s="3"/>
      <c r="Z284" s="3"/>
    </row>
    <row r="285" spans="1:26" ht="15.75" customHeight="1">
      <c r="A285" s="3"/>
      <c r="B285" s="3"/>
      <c r="C285" s="3"/>
      <c r="D285" s="47"/>
      <c r="E285" s="3"/>
      <c r="F285" s="3"/>
      <c r="G285" s="3"/>
      <c r="H285" s="3"/>
      <c r="I285" s="44"/>
      <c r="J285" s="3"/>
      <c r="K285" s="3"/>
      <c r="L285" s="3"/>
      <c r="M285" s="3"/>
      <c r="N285" s="3"/>
      <c r="O285" s="3"/>
      <c r="P285" s="3"/>
      <c r="Q285" s="3"/>
      <c r="R285" s="3"/>
      <c r="S285" s="3"/>
      <c r="T285" s="3"/>
      <c r="U285" s="3"/>
      <c r="V285" s="3"/>
      <c r="W285" s="3"/>
      <c r="X285" s="3"/>
      <c r="Y285" s="3"/>
      <c r="Z285" s="3"/>
    </row>
    <row r="286" spans="1:26" ht="15.75" customHeight="1">
      <c r="A286" s="3"/>
      <c r="B286" s="3"/>
      <c r="C286" s="3"/>
      <c r="D286" s="47"/>
      <c r="E286" s="3"/>
      <c r="F286" s="3"/>
      <c r="G286" s="3"/>
      <c r="H286" s="3"/>
      <c r="I286" s="44"/>
      <c r="J286" s="3"/>
      <c r="K286" s="3"/>
      <c r="L286" s="3"/>
      <c r="M286" s="3"/>
      <c r="N286" s="3"/>
      <c r="O286" s="3"/>
      <c r="P286" s="3"/>
      <c r="Q286" s="3"/>
      <c r="R286" s="3"/>
      <c r="S286" s="3"/>
      <c r="T286" s="3"/>
      <c r="U286" s="3"/>
      <c r="V286" s="3"/>
      <c r="W286" s="3"/>
      <c r="X286" s="3"/>
      <c r="Y286" s="3"/>
      <c r="Z286" s="3"/>
    </row>
    <row r="287" spans="1:26" ht="15.75" customHeight="1">
      <c r="A287" s="3"/>
      <c r="B287" s="3"/>
      <c r="C287" s="3"/>
      <c r="D287" s="47"/>
      <c r="E287" s="3"/>
      <c r="F287" s="3"/>
      <c r="G287" s="3"/>
      <c r="H287" s="3"/>
      <c r="I287" s="44"/>
      <c r="J287" s="3"/>
      <c r="K287" s="3"/>
      <c r="L287" s="3"/>
      <c r="M287" s="3"/>
      <c r="N287" s="3"/>
      <c r="O287" s="3"/>
      <c r="P287" s="3"/>
      <c r="Q287" s="3"/>
      <c r="R287" s="3"/>
      <c r="S287" s="3"/>
      <c r="T287" s="3"/>
      <c r="U287" s="3"/>
      <c r="V287" s="3"/>
      <c r="W287" s="3"/>
      <c r="X287" s="3"/>
      <c r="Y287" s="3"/>
      <c r="Z287" s="3"/>
    </row>
    <row r="288" spans="1:26" ht="15.75" customHeight="1">
      <c r="A288" s="3"/>
      <c r="B288" s="3"/>
      <c r="C288" s="3"/>
      <c r="D288" s="47"/>
      <c r="E288" s="3"/>
      <c r="F288" s="3"/>
      <c r="G288" s="3"/>
      <c r="H288" s="3"/>
      <c r="I288" s="44"/>
      <c r="J288" s="3"/>
      <c r="K288" s="3"/>
      <c r="L288" s="3"/>
      <c r="M288" s="3"/>
      <c r="N288" s="3"/>
      <c r="O288" s="3"/>
      <c r="P288" s="3"/>
      <c r="Q288" s="3"/>
      <c r="R288" s="3"/>
      <c r="S288" s="3"/>
      <c r="T288" s="3"/>
      <c r="U288" s="3"/>
      <c r="V288" s="3"/>
      <c r="W288" s="3"/>
      <c r="X288" s="3"/>
      <c r="Y288" s="3"/>
      <c r="Z288" s="3"/>
    </row>
    <row r="289" spans="1:26" ht="15.75" customHeight="1">
      <c r="A289" s="3"/>
      <c r="B289" s="3"/>
      <c r="C289" s="3"/>
      <c r="D289" s="47"/>
      <c r="E289" s="3"/>
      <c r="F289" s="3"/>
      <c r="G289" s="3"/>
      <c r="H289" s="3"/>
      <c r="I289" s="44"/>
      <c r="J289" s="3"/>
      <c r="K289" s="3"/>
      <c r="L289" s="3"/>
      <c r="M289" s="3"/>
      <c r="N289" s="3"/>
      <c r="O289" s="3"/>
      <c r="P289" s="3"/>
      <c r="Q289" s="3"/>
      <c r="R289" s="3"/>
      <c r="S289" s="3"/>
      <c r="T289" s="3"/>
      <c r="U289" s="3"/>
      <c r="V289" s="3"/>
      <c r="W289" s="3"/>
      <c r="X289" s="3"/>
      <c r="Y289" s="3"/>
      <c r="Z289" s="3"/>
    </row>
    <row r="290" spans="1:26" ht="15.75" customHeight="1">
      <c r="A290" s="3"/>
      <c r="B290" s="3"/>
      <c r="C290" s="3"/>
      <c r="D290" s="47"/>
      <c r="E290" s="3"/>
      <c r="F290" s="3"/>
      <c r="G290" s="3"/>
      <c r="H290" s="3"/>
      <c r="I290" s="44"/>
      <c r="J290" s="3"/>
      <c r="K290" s="3"/>
      <c r="L290" s="3"/>
      <c r="M290" s="3"/>
      <c r="N290" s="3"/>
      <c r="O290" s="3"/>
      <c r="P290" s="3"/>
      <c r="Q290" s="3"/>
      <c r="R290" s="3"/>
      <c r="S290" s="3"/>
      <c r="T290" s="3"/>
      <c r="U290" s="3"/>
      <c r="V290" s="3"/>
      <c r="W290" s="3"/>
      <c r="X290" s="3"/>
      <c r="Y290" s="3"/>
      <c r="Z290" s="3"/>
    </row>
    <row r="291" spans="1:26" ht="15.75" customHeight="1">
      <c r="A291" s="3"/>
      <c r="B291" s="3"/>
      <c r="C291" s="3"/>
      <c r="D291" s="47"/>
      <c r="E291" s="3"/>
      <c r="F291" s="3"/>
      <c r="G291" s="3"/>
      <c r="H291" s="3"/>
      <c r="I291" s="44"/>
      <c r="J291" s="3"/>
      <c r="K291" s="3"/>
      <c r="L291" s="3"/>
      <c r="M291" s="3"/>
      <c r="N291" s="3"/>
      <c r="O291" s="3"/>
      <c r="P291" s="3"/>
      <c r="Q291" s="3"/>
      <c r="R291" s="3"/>
      <c r="S291" s="3"/>
      <c r="T291" s="3"/>
      <c r="U291" s="3"/>
      <c r="V291" s="3"/>
      <c r="W291" s="3"/>
      <c r="X291" s="3"/>
      <c r="Y291" s="3"/>
      <c r="Z291" s="3"/>
    </row>
    <row r="292" spans="1:26" ht="15.75" customHeight="1">
      <c r="A292" s="3"/>
      <c r="B292" s="3"/>
      <c r="C292" s="3"/>
      <c r="D292" s="47"/>
      <c r="E292" s="3"/>
      <c r="F292" s="3"/>
      <c r="G292" s="3"/>
      <c r="H292" s="3"/>
      <c r="I292" s="44"/>
      <c r="J292" s="3"/>
      <c r="K292" s="3"/>
      <c r="L292" s="3"/>
      <c r="M292" s="3"/>
      <c r="N292" s="3"/>
      <c r="O292" s="3"/>
      <c r="P292" s="3"/>
      <c r="Q292" s="3"/>
      <c r="R292" s="3"/>
      <c r="S292" s="3"/>
      <c r="T292" s="3"/>
      <c r="U292" s="3"/>
      <c r="V292" s="3"/>
      <c r="W292" s="3"/>
      <c r="X292" s="3"/>
      <c r="Y292" s="3"/>
      <c r="Z292" s="3"/>
    </row>
    <row r="293" spans="1:26" ht="15.75" customHeight="1">
      <c r="A293" s="3"/>
      <c r="B293" s="3"/>
      <c r="C293" s="3"/>
      <c r="D293" s="47"/>
      <c r="E293" s="3"/>
      <c r="F293" s="3"/>
      <c r="G293" s="3"/>
      <c r="H293" s="3"/>
      <c r="I293" s="44"/>
      <c r="J293" s="3"/>
      <c r="K293" s="3"/>
      <c r="L293" s="3"/>
      <c r="M293" s="3"/>
      <c r="N293" s="3"/>
      <c r="O293" s="3"/>
      <c r="P293" s="3"/>
      <c r="Q293" s="3"/>
      <c r="R293" s="3"/>
      <c r="S293" s="3"/>
      <c r="T293" s="3"/>
      <c r="U293" s="3"/>
      <c r="V293" s="3"/>
      <c r="W293" s="3"/>
      <c r="X293" s="3"/>
      <c r="Y293" s="3"/>
      <c r="Z293" s="3"/>
    </row>
    <row r="294" spans="1:26" ht="15.75" customHeight="1">
      <c r="A294" s="3"/>
      <c r="B294" s="3"/>
      <c r="C294" s="3"/>
      <c r="D294" s="47"/>
      <c r="E294" s="3"/>
      <c r="F294" s="3"/>
      <c r="G294" s="3"/>
      <c r="H294" s="3"/>
      <c r="I294" s="44"/>
      <c r="J294" s="3"/>
      <c r="K294" s="3"/>
      <c r="L294" s="3"/>
      <c r="M294" s="3"/>
      <c r="N294" s="3"/>
      <c r="O294" s="3"/>
      <c r="P294" s="3"/>
      <c r="Q294" s="3"/>
      <c r="R294" s="3"/>
      <c r="S294" s="3"/>
      <c r="T294" s="3"/>
      <c r="U294" s="3"/>
      <c r="V294" s="3"/>
      <c r="W294" s="3"/>
      <c r="X294" s="3"/>
      <c r="Y294" s="3"/>
      <c r="Z294" s="3"/>
    </row>
    <row r="295" spans="1:26" ht="15.75" customHeight="1">
      <c r="A295" s="3"/>
      <c r="B295" s="3"/>
      <c r="C295" s="3"/>
      <c r="D295" s="47"/>
      <c r="E295" s="3"/>
      <c r="F295" s="3"/>
      <c r="G295" s="3"/>
      <c r="H295" s="3"/>
      <c r="I295" s="44"/>
      <c r="J295" s="3"/>
      <c r="K295" s="3"/>
      <c r="L295" s="3"/>
      <c r="M295" s="3"/>
      <c r="N295" s="3"/>
      <c r="O295" s="3"/>
      <c r="P295" s="3"/>
      <c r="Q295" s="3"/>
      <c r="R295" s="3"/>
      <c r="S295" s="3"/>
      <c r="T295" s="3"/>
      <c r="U295" s="3"/>
      <c r="V295" s="3"/>
      <c r="W295" s="3"/>
      <c r="X295" s="3"/>
      <c r="Y295" s="3"/>
      <c r="Z295" s="3"/>
    </row>
    <row r="296" spans="1:26" ht="15.75" customHeight="1">
      <c r="A296" s="3"/>
      <c r="B296" s="3"/>
      <c r="C296" s="3"/>
      <c r="D296" s="47"/>
      <c r="E296" s="3"/>
      <c r="F296" s="3"/>
      <c r="G296" s="3"/>
      <c r="H296" s="3"/>
      <c r="I296" s="44"/>
      <c r="J296" s="3"/>
      <c r="K296" s="3"/>
      <c r="L296" s="3"/>
      <c r="M296" s="3"/>
      <c r="N296" s="3"/>
      <c r="O296" s="3"/>
      <c r="P296" s="3"/>
      <c r="Q296" s="3"/>
      <c r="R296" s="3"/>
      <c r="S296" s="3"/>
      <c r="T296" s="3"/>
      <c r="U296" s="3"/>
      <c r="V296" s="3"/>
      <c r="W296" s="3"/>
      <c r="X296" s="3"/>
      <c r="Y296" s="3"/>
      <c r="Z296" s="3"/>
    </row>
    <row r="297" spans="1:26" ht="15.75" customHeight="1">
      <c r="A297" s="3"/>
      <c r="B297" s="3"/>
      <c r="C297" s="3"/>
      <c r="D297" s="47"/>
      <c r="E297" s="3"/>
      <c r="F297" s="3"/>
      <c r="G297" s="3"/>
      <c r="H297" s="3"/>
      <c r="I297" s="44"/>
      <c r="J297" s="3"/>
      <c r="K297" s="3"/>
      <c r="L297" s="3"/>
      <c r="M297" s="3"/>
      <c r="N297" s="3"/>
      <c r="O297" s="3"/>
      <c r="P297" s="3"/>
      <c r="Q297" s="3"/>
      <c r="R297" s="3"/>
      <c r="S297" s="3"/>
      <c r="T297" s="3"/>
      <c r="U297" s="3"/>
      <c r="V297" s="3"/>
      <c r="W297" s="3"/>
      <c r="X297" s="3"/>
      <c r="Y297" s="3"/>
      <c r="Z297" s="3"/>
    </row>
    <row r="298" spans="1:26" ht="15.75" customHeight="1">
      <c r="A298" s="3"/>
      <c r="B298" s="3"/>
      <c r="C298" s="3"/>
      <c r="D298" s="47"/>
      <c r="E298" s="3"/>
      <c r="F298" s="3"/>
      <c r="G298" s="3"/>
      <c r="H298" s="3"/>
      <c r="I298" s="44"/>
      <c r="J298" s="3"/>
      <c r="K298" s="3"/>
      <c r="L298" s="3"/>
      <c r="M298" s="3"/>
      <c r="N298" s="3"/>
      <c r="O298" s="3"/>
      <c r="P298" s="3"/>
      <c r="Q298" s="3"/>
      <c r="R298" s="3"/>
      <c r="S298" s="3"/>
      <c r="T298" s="3"/>
      <c r="U298" s="3"/>
      <c r="V298" s="3"/>
      <c r="W298" s="3"/>
      <c r="X298" s="3"/>
      <c r="Y298" s="3"/>
      <c r="Z298" s="3"/>
    </row>
    <row r="299" spans="1:26" ht="15.75" customHeight="1">
      <c r="A299" s="3"/>
      <c r="B299" s="3"/>
      <c r="C299" s="3"/>
      <c r="D299" s="47"/>
      <c r="E299" s="3"/>
      <c r="F299" s="3"/>
      <c r="G299" s="3"/>
      <c r="H299" s="3"/>
      <c r="I299" s="44"/>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P99" xr:uid="{00000000-0009-0000-0000-000000000000}"/>
  <hyperlinks>
    <hyperlink ref="O2" r:id="rId1" xr:uid="{00000000-0004-0000-0000-000000000000}"/>
    <hyperlink ref="O3" r:id="rId2" xr:uid="{00000000-0004-0000-0000-000001000000}"/>
    <hyperlink ref="O4" r:id="rId3" xr:uid="{00000000-0004-0000-0000-000002000000}"/>
    <hyperlink ref="O5" r:id="rId4" xr:uid="{00000000-0004-0000-0000-000003000000}"/>
    <hyperlink ref="O6" r:id="rId5" xr:uid="{00000000-0004-0000-0000-000004000000}"/>
    <hyperlink ref="O7" r:id="rId6" xr:uid="{00000000-0004-0000-0000-000005000000}"/>
    <hyperlink ref="O8" r:id="rId7" xr:uid="{00000000-0004-0000-0000-000006000000}"/>
    <hyperlink ref="O9" r:id="rId8" xr:uid="{00000000-0004-0000-0000-000007000000}"/>
    <hyperlink ref="O10" r:id="rId9" xr:uid="{00000000-0004-0000-0000-000008000000}"/>
    <hyperlink ref="O11" r:id="rId10" xr:uid="{00000000-0004-0000-0000-000009000000}"/>
    <hyperlink ref="O12" r:id="rId11" xr:uid="{00000000-0004-0000-0000-00000A000000}"/>
    <hyperlink ref="O13" r:id="rId12" xr:uid="{00000000-0004-0000-0000-00000B000000}"/>
    <hyperlink ref="O14" r:id="rId13" xr:uid="{00000000-0004-0000-0000-00000C000000}"/>
    <hyperlink ref="O15" r:id="rId14" xr:uid="{00000000-0004-0000-0000-00000D000000}"/>
    <hyperlink ref="O16" r:id="rId15" xr:uid="{00000000-0004-0000-0000-00000E000000}"/>
    <hyperlink ref="O17" r:id="rId16" xr:uid="{00000000-0004-0000-0000-00000F000000}"/>
    <hyperlink ref="O18" r:id="rId17" xr:uid="{00000000-0004-0000-0000-000010000000}"/>
    <hyperlink ref="O19" r:id="rId18" xr:uid="{00000000-0004-0000-0000-000011000000}"/>
    <hyperlink ref="O20" r:id="rId19" xr:uid="{00000000-0004-0000-0000-000012000000}"/>
    <hyperlink ref="O21" r:id="rId20" xr:uid="{00000000-0004-0000-0000-000013000000}"/>
    <hyperlink ref="O22" r:id="rId21" xr:uid="{00000000-0004-0000-0000-000014000000}"/>
    <hyperlink ref="O23" r:id="rId22" xr:uid="{00000000-0004-0000-0000-000015000000}"/>
    <hyperlink ref="O24" r:id="rId23" xr:uid="{00000000-0004-0000-0000-000016000000}"/>
    <hyperlink ref="O25" r:id="rId24" xr:uid="{00000000-0004-0000-0000-000017000000}"/>
    <hyperlink ref="O26" r:id="rId25" xr:uid="{00000000-0004-0000-0000-000018000000}"/>
    <hyperlink ref="O27" r:id="rId26" xr:uid="{00000000-0004-0000-0000-000019000000}"/>
    <hyperlink ref="O28" r:id="rId27" xr:uid="{00000000-0004-0000-0000-00001A000000}"/>
    <hyperlink ref="O29" r:id="rId28" xr:uid="{00000000-0004-0000-0000-00001B000000}"/>
    <hyperlink ref="O30" r:id="rId29" xr:uid="{00000000-0004-0000-0000-00001C000000}"/>
    <hyperlink ref="O31" r:id="rId30" xr:uid="{00000000-0004-0000-0000-00001D000000}"/>
    <hyperlink ref="O32" r:id="rId31" xr:uid="{00000000-0004-0000-0000-00001E000000}"/>
    <hyperlink ref="O35" r:id="rId32" xr:uid="{00000000-0004-0000-0000-00001F000000}"/>
    <hyperlink ref="O37" r:id="rId33" xr:uid="{00000000-0004-0000-0000-000020000000}"/>
    <hyperlink ref="O38" r:id="rId34" xr:uid="{00000000-0004-0000-0000-000021000000}"/>
    <hyperlink ref="O39" r:id="rId35" xr:uid="{00000000-0004-0000-0000-000022000000}"/>
    <hyperlink ref="O41" r:id="rId36" xr:uid="{00000000-0004-0000-0000-000023000000}"/>
    <hyperlink ref="O42" r:id="rId37" xr:uid="{00000000-0004-0000-0000-000024000000}"/>
    <hyperlink ref="O43" r:id="rId38" xr:uid="{00000000-0004-0000-0000-000025000000}"/>
    <hyperlink ref="O44" r:id="rId39" xr:uid="{00000000-0004-0000-0000-000026000000}"/>
    <hyperlink ref="O45" r:id="rId40" xr:uid="{00000000-0004-0000-0000-000027000000}"/>
    <hyperlink ref="O49" r:id="rId41" xr:uid="{00000000-0004-0000-0000-000028000000}"/>
    <hyperlink ref="O52" r:id="rId42" xr:uid="{00000000-0004-0000-0000-000029000000}"/>
    <hyperlink ref="O54" r:id="rId43" xr:uid="{00000000-0004-0000-0000-00002A000000}"/>
    <hyperlink ref="O55" r:id="rId44" xr:uid="{00000000-0004-0000-0000-00002B000000}"/>
    <hyperlink ref="O56" r:id="rId45" xr:uid="{00000000-0004-0000-0000-00002C000000}"/>
    <hyperlink ref="O57" r:id="rId46" xr:uid="{00000000-0004-0000-0000-00002D000000}"/>
    <hyperlink ref="O58" r:id="rId47" xr:uid="{00000000-0004-0000-0000-00002E000000}"/>
    <hyperlink ref="O59" r:id="rId48" xr:uid="{00000000-0004-0000-0000-00002F000000}"/>
    <hyperlink ref="O60" r:id="rId49" xr:uid="{00000000-0004-0000-0000-000030000000}"/>
    <hyperlink ref="O61" r:id="rId50" xr:uid="{00000000-0004-0000-0000-000031000000}"/>
    <hyperlink ref="O62" r:id="rId51" xr:uid="{00000000-0004-0000-0000-000032000000}"/>
    <hyperlink ref="O63" r:id="rId52" xr:uid="{00000000-0004-0000-0000-000033000000}"/>
    <hyperlink ref="O64" r:id="rId53" xr:uid="{00000000-0004-0000-0000-000034000000}"/>
    <hyperlink ref="O65" r:id="rId54" xr:uid="{00000000-0004-0000-0000-000035000000}"/>
    <hyperlink ref="O66" r:id="rId55" xr:uid="{00000000-0004-0000-0000-000036000000}"/>
    <hyperlink ref="O67" r:id="rId56" xr:uid="{00000000-0004-0000-0000-000037000000}"/>
    <hyperlink ref="O68" r:id="rId57" xr:uid="{00000000-0004-0000-0000-000038000000}"/>
    <hyperlink ref="O69" r:id="rId58" xr:uid="{00000000-0004-0000-0000-000039000000}"/>
    <hyperlink ref="O70" r:id="rId59" xr:uid="{00000000-0004-0000-0000-00003A000000}"/>
    <hyperlink ref="O71" r:id="rId60" xr:uid="{00000000-0004-0000-0000-00003B000000}"/>
    <hyperlink ref="O72" r:id="rId61" xr:uid="{00000000-0004-0000-0000-00003C000000}"/>
    <hyperlink ref="O73" r:id="rId62" xr:uid="{00000000-0004-0000-0000-00003D000000}"/>
    <hyperlink ref="O74" r:id="rId63" xr:uid="{00000000-0004-0000-0000-00003E000000}"/>
    <hyperlink ref="O75" r:id="rId64" xr:uid="{00000000-0004-0000-0000-00003F000000}"/>
    <hyperlink ref="O76" r:id="rId65" xr:uid="{00000000-0004-0000-0000-000040000000}"/>
    <hyperlink ref="O77" r:id="rId66" xr:uid="{00000000-0004-0000-0000-000041000000}"/>
    <hyperlink ref="O78" r:id="rId67" xr:uid="{00000000-0004-0000-0000-000042000000}"/>
    <hyperlink ref="O79" r:id="rId68" xr:uid="{00000000-0004-0000-0000-000043000000}"/>
    <hyperlink ref="O80" r:id="rId69" xr:uid="{00000000-0004-0000-0000-000044000000}"/>
    <hyperlink ref="O81" r:id="rId70" xr:uid="{00000000-0004-0000-0000-000045000000}"/>
    <hyperlink ref="O82" r:id="rId71" xr:uid="{00000000-0004-0000-0000-000046000000}"/>
    <hyperlink ref="O83" r:id="rId72" xr:uid="{00000000-0004-0000-0000-000047000000}"/>
    <hyperlink ref="O84" r:id="rId73" xr:uid="{00000000-0004-0000-0000-000048000000}"/>
    <hyperlink ref="O85" r:id="rId74" xr:uid="{00000000-0004-0000-0000-000049000000}"/>
    <hyperlink ref="O86" r:id="rId75" xr:uid="{00000000-0004-0000-0000-00004A000000}"/>
    <hyperlink ref="O87" r:id="rId76" xr:uid="{00000000-0004-0000-0000-00004B000000}"/>
    <hyperlink ref="O88" r:id="rId77" xr:uid="{00000000-0004-0000-0000-00004C000000}"/>
    <hyperlink ref="O89" r:id="rId78" xr:uid="{00000000-0004-0000-0000-00004D000000}"/>
    <hyperlink ref="O92" r:id="rId79" xr:uid="{00000000-0004-0000-0000-00004E000000}"/>
    <hyperlink ref="R92" r:id="rId80" xr:uid="{00000000-0004-0000-0000-00004F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2" width="20" customWidth="1"/>
    <col min="3" max="3" width="55" customWidth="1"/>
    <col min="4" max="6" width="8.7109375" customWidth="1"/>
    <col min="7" max="26" width="14.5703125" customWidth="1"/>
  </cols>
  <sheetData>
    <row r="1" spans="1:26" ht="18" customHeight="1">
      <c r="A1" s="346" t="s">
        <v>946</v>
      </c>
      <c r="B1" s="347"/>
      <c r="C1" s="347"/>
      <c r="D1" s="3"/>
      <c r="E1" s="3"/>
      <c r="F1" s="3"/>
      <c r="G1" s="3"/>
      <c r="H1" s="3"/>
      <c r="I1" s="3"/>
      <c r="J1" s="3"/>
      <c r="K1" s="3"/>
      <c r="L1" s="3"/>
      <c r="M1" s="3"/>
      <c r="N1" s="3"/>
      <c r="O1" s="3"/>
      <c r="P1" s="3"/>
      <c r="Q1" s="3"/>
      <c r="R1" s="3"/>
      <c r="S1" s="3"/>
      <c r="T1" s="3"/>
      <c r="U1" s="3"/>
      <c r="V1" s="3"/>
      <c r="W1" s="3"/>
      <c r="X1" s="3"/>
      <c r="Y1" s="3"/>
      <c r="Z1" s="3"/>
    </row>
    <row r="2" spans="1:26" ht="15" customHeight="1">
      <c r="A2" s="3"/>
      <c r="B2" s="3"/>
      <c r="C2" s="3"/>
      <c r="D2" s="3"/>
      <c r="E2" s="3"/>
      <c r="F2" s="3"/>
      <c r="G2" s="3"/>
      <c r="H2" s="3"/>
      <c r="I2" s="3"/>
      <c r="J2" s="3"/>
      <c r="K2" s="3"/>
      <c r="L2" s="3"/>
      <c r="M2" s="3"/>
      <c r="N2" s="3"/>
      <c r="O2" s="3"/>
      <c r="P2" s="3"/>
      <c r="Q2" s="3"/>
      <c r="R2" s="3"/>
      <c r="S2" s="3"/>
      <c r="T2" s="3"/>
      <c r="U2" s="3"/>
      <c r="V2" s="3"/>
      <c r="W2" s="3"/>
      <c r="X2" s="3"/>
      <c r="Y2" s="3"/>
      <c r="Z2" s="3"/>
    </row>
    <row r="3" spans="1:26" ht="15" customHeight="1">
      <c r="A3" s="55" t="s">
        <v>947</v>
      </c>
      <c r="B3" s="55" t="s">
        <v>948</v>
      </c>
      <c r="C3" s="55" t="s">
        <v>949</v>
      </c>
      <c r="D3" s="3"/>
      <c r="E3" s="3"/>
      <c r="F3" s="3"/>
      <c r="G3" s="3"/>
      <c r="H3" s="3"/>
      <c r="I3" s="3"/>
      <c r="J3" s="3"/>
      <c r="K3" s="3"/>
      <c r="L3" s="3"/>
      <c r="M3" s="3"/>
      <c r="N3" s="3"/>
      <c r="O3" s="3"/>
      <c r="P3" s="3"/>
      <c r="Q3" s="3"/>
      <c r="R3" s="3"/>
      <c r="S3" s="3"/>
      <c r="T3" s="3"/>
      <c r="U3" s="3"/>
      <c r="V3" s="3"/>
      <c r="W3" s="3"/>
      <c r="X3" s="3"/>
      <c r="Y3" s="3"/>
      <c r="Z3" s="3"/>
    </row>
    <row r="4" spans="1:26" ht="15" customHeight="1">
      <c r="A4" s="56" t="s">
        <v>18</v>
      </c>
      <c r="B4" s="57">
        <v>52</v>
      </c>
      <c r="C4" s="57" t="s">
        <v>950</v>
      </c>
      <c r="D4" s="3"/>
      <c r="E4" s="3"/>
      <c r="F4" s="3"/>
      <c r="G4" s="3"/>
      <c r="H4" s="3"/>
      <c r="I4" s="3"/>
      <c r="J4" s="3"/>
      <c r="K4" s="3"/>
      <c r="L4" s="3"/>
      <c r="M4" s="3"/>
      <c r="N4" s="3"/>
      <c r="O4" s="3"/>
      <c r="P4" s="3"/>
      <c r="Q4" s="3"/>
      <c r="R4" s="3"/>
      <c r="S4" s="3"/>
      <c r="T4" s="3"/>
      <c r="U4" s="3"/>
      <c r="V4" s="3"/>
      <c r="W4" s="3"/>
      <c r="X4" s="3"/>
      <c r="Y4" s="3"/>
      <c r="Z4" s="3"/>
    </row>
    <row r="5" spans="1:26" ht="15" customHeight="1">
      <c r="A5" s="58" t="s">
        <v>546</v>
      </c>
      <c r="B5" s="59">
        <v>36</v>
      </c>
      <c r="C5" s="59" t="s">
        <v>951</v>
      </c>
      <c r="D5" s="3"/>
      <c r="E5" s="3"/>
      <c r="F5" s="3"/>
      <c r="G5" s="3"/>
      <c r="H5" s="3"/>
      <c r="I5" s="3"/>
      <c r="J5" s="3"/>
      <c r="K5" s="3"/>
      <c r="L5" s="3"/>
      <c r="M5" s="3"/>
      <c r="N5" s="3"/>
      <c r="O5" s="3"/>
      <c r="P5" s="3"/>
      <c r="Q5" s="3"/>
      <c r="R5" s="3"/>
      <c r="S5" s="3"/>
      <c r="T5" s="3"/>
      <c r="U5" s="3"/>
      <c r="V5" s="3"/>
      <c r="W5" s="3"/>
      <c r="X5" s="3"/>
      <c r="Y5" s="3"/>
      <c r="Z5" s="3"/>
    </row>
    <row r="6" spans="1:26" ht="15" customHeight="1">
      <c r="A6" s="60" t="s">
        <v>952</v>
      </c>
      <c r="B6" s="60">
        <v>10</v>
      </c>
      <c r="C6" s="61" t="s">
        <v>953</v>
      </c>
      <c r="D6" s="3"/>
      <c r="E6" s="3"/>
      <c r="F6" s="3"/>
      <c r="G6" s="3"/>
      <c r="H6" s="3"/>
      <c r="I6" s="3"/>
      <c r="J6" s="3"/>
      <c r="K6" s="3"/>
      <c r="L6" s="3"/>
      <c r="M6" s="3"/>
      <c r="N6" s="3"/>
      <c r="O6" s="3"/>
      <c r="P6" s="3"/>
      <c r="Q6" s="3"/>
      <c r="R6" s="3"/>
      <c r="S6" s="3"/>
      <c r="T6" s="3"/>
      <c r="U6" s="3"/>
      <c r="V6" s="3"/>
      <c r="W6" s="3"/>
      <c r="X6" s="3"/>
      <c r="Y6" s="3"/>
      <c r="Z6" s="3"/>
    </row>
    <row r="7" spans="1:26" ht="15.75" customHeight="1">
      <c r="A7" s="62" t="s">
        <v>954</v>
      </c>
      <c r="B7" s="62">
        <f>SUM(B4:B6)</f>
        <v>98</v>
      </c>
      <c r="C7" s="3"/>
      <c r="D7" s="3"/>
      <c r="E7" s="3"/>
      <c r="F7" s="3"/>
      <c r="G7" s="3"/>
      <c r="H7" s="3"/>
      <c r="I7" s="3"/>
      <c r="J7" s="3"/>
      <c r="K7" s="3"/>
      <c r="L7" s="3"/>
      <c r="M7" s="3"/>
      <c r="N7" s="3"/>
      <c r="O7" s="3"/>
      <c r="P7" s="3"/>
      <c r="Q7" s="3"/>
      <c r="R7" s="3"/>
      <c r="S7" s="3"/>
      <c r="T7" s="3"/>
      <c r="U7" s="3"/>
      <c r="V7" s="3"/>
      <c r="W7" s="3"/>
      <c r="X7" s="3"/>
      <c r="Y7" s="3"/>
      <c r="Z7" s="3"/>
    </row>
    <row r="8" spans="1:26" ht="15" customHeight="1">
      <c r="A8" s="3"/>
      <c r="B8" s="3"/>
      <c r="C8" s="3"/>
      <c r="D8" s="3"/>
      <c r="E8" s="3"/>
      <c r="F8" s="3"/>
      <c r="G8" s="3"/>
      <c r="H8" s="3"/>
      <c r="I8" s="3"/>
      <c r="J8" s="3"/>
      <c r="K8" s="3"/>
      <c r="L8" s="3"/>
      <c r="M8" s="3"/>
      <c r="N8" s="3"/>
      <c r="O8" s="3"/>
      <c r="P8" s="3"/>
      <c r="Q8" s="3"/>
      <c r="R8" s="3"/>
      <c r="S8" s="3"/>
      <c r="T8" s="3"/>
      <c r="U8" s="3"/>
      <c r="V8" s="3"/>
      <c r="W8" s="3"/>
      <c r="X8" s="3"/>
      <c r="Y8" s="3"/>
      <c r="Z8" s="3"/>
    </row>
    <row r="9" spans="1:26" ht="15" customHeight="1">
      <c r="A9" s="3" t="s">
        <v>955</v>
      </c>
      <c r="B9" s="3"/>
      <c r="C9" s="3"/>
      <c r="D9" s="3"/>
      <c r="E9" s="3"/>
      <c r="F9" s="3"/>
      <c r="G9" s="3"/>
      <c r="H9" s="3"/>
      <c r="I9" s="3"/>
      <c r="J9" s="3"/>
      <c r="K9" s="3"/>
      <c r="L9" s="3"/>
      <c r="M9" s="3"/>
      <c r="N9" s="3"/>
      <c r="O9" s="3"/>
      <c r="P9" s="3"/>
      <c r="Q9" s="3"/>
      <c r="R9" s="3"/>
      <c r="S9" s="3"/>
      <c r="T9" s="3"/>
      <c r="U9" s="3"/>
      <c r="V9" s="3"/>
      <c r="W9" s="3"/>
      <c r="X9" s="3"/>
      <c r="Y9" s="3"/>
      <c r="Z9" s="3"/>
    </row>
    <row r="10" spans="1:26" ht="15" customHeight="1">
      <c r="A10" s="63" t="s">
        <v>956</v>
      </c>
      <c r="B10" s="3" t="s">
        <v>957</v>
      </c>
      <c r="C10" s="3"/>
      <c r="D10" s="3"/>
      <c r="E10" s="3"/>
      <c r="F10" s="3"/>
      <c r="G10" s="3"/>
      <c r="H10" s="3"/>
      <c r="I10" s="3"/>
      <c r="J10" s="3"/>
      <c r="K10" s="3"/>
      <c r="L10" s="3"/>
      <c r="M10" s="3"/>
      <c r="N10" s="3"/>
      <c r="O10" s="3"/>
      <c r="P10" s="3"/>
      <c r="Q10" s="3"/>
      <c r="R10" s="3"/>
      <c r="S10" s="3"/>
      <c r="T10" s="3"/>
      <c r="U10" s="3"/>
      <c r="V10" s="3"/>
      <c r="W10" s="3"/>
      <c r="X10" s="3"/>
      <c r="Y10" s="3"/>
      <c r="Z10" s="3"/>
    </row>
    <row r="11" spans="1:26" ht="15" customHeight="1">
      <c r="A11" s="64" t="s">
        <v>958</v>
      </c>
      <c r="B11" s="3" t="s">
        <v>959</v>
      </c>
      <c r="C11" s="3"/>
      <c r="D11" s="3"/>
      <c r="E11" s="3"/>
      <c r="F11" s="3"/>
      <c r="G11" s="3"/>
      <c r="H11" s="3"/>
      <c r="I11" s="3"/>
      <c r="J11" s="3"/>
      <c r="K11" s="3"/>
      <c r="L11" s="3"/>
      <c r="M11" s="3"/>
      <c r="N11" s="3"/>
      <c r="O11" s="3"/>
      <c r="P11" s="3"/>
      <c r="Q11" s="3"/>
      <c r="R11" s="3"/>
      <c r="S11" s="3"/>
      <c r="T11" s="3"/>
      <c r="U11" s="3"/>
      <c r="V11" s="3"/>
      <c r="W11" s="3"/>
      <c r="X11" s="3"/>
      <c r="Y11" s="3"/>
      <c r="Z11" s="3"/>
    </row>
    <row r="12" spans="1:26" ht="15" customHeight="1">
      <c r="A12" s="60" t="s">
        <v>960</v>
      </c>
      <c r="B12" s="3" t="s">
        <v>961</v>
      </c>
      <c r="C12" s="3"/>
      <c r="D12" s="3"/>
      <c r="E12" s="3"/>
      <c r="F12" s="3"/>
      <c r="G12" s="3"/>
      <c r="H12" s="3"/>
      <c r="I12" s="3"/>
      <c r="J12" s="3"/>
      <c r="K12" s="3"/>
      <c r="L12" s="3"/>
      <c r="M12" s="3"/>
      <c r="N12" s="3"/>
      <c r="O12" s="3"/>
      <c r="P12" s="3"/>
      <c r="Q12" s="3"/>
      <c r="R12" s="3"/>
      <c r="S12" s="3"/>
      <c r="T12" s="3"/>
      <c r="U12" s="3"/>
      <c r="V12" s="3"/>
      <c r="W12" s="3"/>
      <c r="X12" s="3"/>
      <c r="Y12" s="3"/>
      <c r="Z12" s="3"/>
    </row>
    <row r="13" spans="1:26" ht="1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row>
    <row r="222" spans="1:26" ht="15.75" customHeight="1">
      <c r="A222" s="3"/>
      <c r="B222" s="3"/>
      <c r="C222" s="3"/>
      <c r="D222" s="3"/>
      <c r="E222" s="3"/>
      <c r="F222" s="3"/>
    </row>
    <row r="223" spans="1:26" ht="15.75" customHeight="1">
      <c r="A223" s="3"/>
      <c r="B223" s="3"/>
      <c r="C223" s="3"/>
      <c r="D223" s="3"/>
      <c r="E223" s="3"/>
      <c r="F223" s="3"/>
    </row>
    <row r="224" spans="1:26" ht="15.75" customHeight="1">
      <c r="A224" s="3"/>
      <c r="B224" s="3"/>
      <c r="C224" s="3"/>
      <c r="D224" s="3"/>
      <c r="E224" s="3"/>
      <c r="F224" s="3"/>
    </row>
    <row r="225" spans="1:6" ht="15.75" customHeight="1">
      <c r="A225" s="3"/>
      <c r="B225" s="3"/>
      <c r="C225" s="3"/>
      <c r="D225" s="3"/>
      <c r="E225" s="3"/>
      <c r="F225" s="3"/>
    </row>
    <row r="226" spans="1:6" ht="15.75" customHeight="1">
      <c r="A226" s="3"/>
      <c r="B226" s="3"/>
      <c r="C226" s="3"/>
      <c r="D226" s="3"/>
      <c r="E226" s="3"/>
      <c r="F226" s="3"/>
    </row>
    <row r="227" spans="1:6" ht="15.75" customHeight="1">
      <c r="A227" s="3"/>
      <c r="B227" s="3"/>
      <c r="C227" s="3"/>
      <c r="D227" s="3"/>
      <c r="E227" s="3"/>
      <c r="F227" s="3"/>
    </row>
    <row r="228" spans="1:6" ht="15.75" customHeight="1">
      <c r="A228" s="3"/>
      <c r="B228" s="3"/>
      <c r="C228" s="3"/>
      <c r="D228" s="3"/>
      <c r="E228" s="3"/>
      <c r="F228" s="3"/>
    </row>
    <row r="229" spans="1:6" ht="15.75" customHeight="1">
      <c r="A229" s="3"/>
      <c r="B229" s="3"/>
      <c r="C229" s="3"/>
      <c r="D229" s="3"/>
      <c r="E229" s="3"/>
      <c r="F229" s="3"/>
    </row>
    <row r="230" spans="1:6" ht="15.75" customHeight="1">
      <c r="A230" s="3"/>
      <c r="B230" s="3"/>
      <c r="C230" s="3"/>
      <c r="D230" s="3"/>
      <c r="E230" s="3"/>
      <c r="F230" s="3"/>
    </row>
    <row r="231" spans="1:6" ht="15.75" customHeight="1">
      <c r="A231" s="3"/>
      <c r="B231" s="3"/>
      <c r="C231" s="3"/>
      <c r="D231" s="3"/>
      <c r="E231" s="3"/>
      <c r="F231" s="3"/>
    </row>
    <row r="232" spans="1:6" ht="15.75" customHeight="1">
      <c r="A232" s="3"/>
      <c r="B232" s="3"/>
      <c r="C232" s="3"/>
      <c r="D232" s="3"/>
      <c r="E232" s="3"/>
      <c r="F232" s="3"/>
    </row>
    <row r="233" spans="1:6" ht="15.75" customHeight="1">
      <c r="A233" s="3"/>
      <c r="B233" s="3"/>
      <c r="C233" s="3"/>
      <c r="D233" s="3"/>
      <c r="E233" s="3"/>
      <c r="F233" s="3"/>
    </row>
    <row r="234" spans="1:6" ht="15.75" customHeight="1">
      <c r="A234" s="3"/>
      <c r="B234" s="3"/>
      <c r="C234" s="3"/>
      <c r="D234" s="3"/>
      <c r="E234" s="3"/>
      <c r="F234" s="3"/>
    </row>
    <row r="235" spans="1:6" ht="15.75" customHeight="1">
      <c r="A235" s="3"/>
      <c r="B235" s="3"/>
      <c r="C235" s="3"/>
      <c r="D235" s="3"/>
      <c r="E235" s="3"/>
      <c r="F235" s="3"/>
    </row>
    <row r="236" spans="1:6" ht="15.75" customHeight="1">
      <c r="A236" s="3"/>
      <c r="B236" s="3"/>
      <c r="C236" s="3"/>
      <c r="D236" s="3"/>
      <c r="E236" s="3"/>
      <c r="F236" s="3"/>
    </row>
    <row r="237" spans="1:6" ht="15.75" customHeight="1">
      <c r="A237" s="3"/>
      <c r="B237" s="3"/>
      <c r="C237" s="3"/>
      <c r="D237" s="3"/>
      <c r="E237" s="3"/>
      <c r="F237" s="3"/>
    </row>
    <row r="238" spans="1:6" ht="15.75" customHeight="1">
      <c r="A238" s="3"/>
      <c r="B238" s="3"/>
      <c r="C238" s="3"/>
      <c r="D238" s="3"/>
      <c r="E238" s="3"/>
      <c r="F238" s="3"/>
    </row>
    <row r="239" spans="1:6" ht="15.75" customHeight="1">
      <c r="A239" s="3"/>
      <c r="B239" s="3"/>
      <c r="C239" s="3"/>
      <c r="D239" s="3"/>
      <c r="E239" s="3"/>
      <c r="F239" s="3"/>
    </row>
    <row r="240" spans="1:6" ht="15.75" customHeight="1">
      <c r="A240" s="3"/>
      <c r="B240" s="3"/>
      <c r="C240" s="3"/>
      <c r="D240" s="3"/>
      <c r="E240" s="3"/>
      <c r="F240" s="3"/>
    </row>
    <row r="241" spans="1:6" ht="15.75" customHeight="1">
      <c r="A241" s="3"/>
      <c r="B241" s="3"/>
      <c r="C241" s="3"/>
      <c r="D241" s="3"/>
      <c r="E241" s="3"/>
      <c r="F241" s="3"/>
    </row>
    <row r="242" spans="1:6" ht="15.75" customHeight="1">
      <c r="A242" s="3"/>
      <c r="B242" s="3"/>
      <c r="C242" s="3"/>
      <c r="D242" s="3"/>
      <c r="E242" s="3"/>
      <c r="F242" s="3"/>
    </row>
    <row r="243" spans="1:6" ht="15.75" customHeight="1">
      <c r="A243" s="3"/>
      <c r="B243" s="3"/>
      <c r="C243" s="3"/>
      <c r="D243" s="3"/>
      <c r="E243" s="3"/>
      <c r="F243" s="3"/>
    </row>
    <row r="244" spans="1:6" ht="15.75" customHeight="1">
      <c r="A244" s="3"/>
      <c r="B244" s="3"/>
      <c r="C244" s="3"/>
      <c r="D244" s="3"/>
      <c r="E244" s="3"/>
      <c r="F244" s="3"/>
    </row>
    <row r="245" spans="1:6" ht="15.75" customHeight="1">
      <c r="A245" s="3"/>
      <c r="B245" s="3"/>
      <c r="C245" s="3"/>
      <c r="D245" s="3"/>
      <c r="E245" s="3"/>
      <c r="F245" s="3"/>
    </row>
    <row r="246" spans="1:6" ht="15.75" customHeight="1">
      <c r="A246" s="3"/>
      <c r="B246" s="3"/>
      <c r="C246" s="3"/>
      <c r="D246" s="3"/>
      <c r="E246" s="3"/>
      <c r="F246" s="3"/>
    </row>
    <row r="247" spans="1:6" ht="15.75" customHeight="1">
      <c r="A247" s="3"/>
      <c r="B247" s="3"/>
      <c r="C247" s="3"/>
      <c r="D247" s="3"/>
      <c r="E247" s="3"/>
      <c r="F247" s="3"/>
    </row>
    <row r="248" spans="1:6" ht="15.75" customHeight="1">
      <c r="A248" s="3"/>
      <c r="B248" s="3"/>
      <c r="C248" s="3"/>
      <c r="D248" s="3"/>
      <c r="E248" s="3"/>
      <c r="F248" s="3"/>
    </row>
    <row r="249" spans="1:6" ht="15.75" customHeight="1">
      <c r="A249" s="3"/>
      <c r="B249" s="3"/>
      <c r="C249" s="3"/>
      <c r="D249" s="3"/>
      <c r="E249" s="3"/>
      <c r="F249" s="3"/>
    </row>
    <row r="250" spans="1:6" ht="15.75" customHeight="1">
      <c r="A250" s="3"/>
      <c r="B250" s="3"/>
      <c r="C250" s="3"/>
      <c r="D250" s="3"/>
      <c r="E250" s="3"/>
      <c r="F250" s="3"/>
    </row>
    <row r="251" spans="1:6" ht="15.75" customHeight="1">
      <c r="A251" s="3"/>
      <c r="B251" s="3"/>
      <c r="C251" s="3"/>
      <c r="D251" s="3"/>
      <c r="E251" s="3"/>
      <c r="F251" s="3"/>
    </row>
    <row r="252" spans="1:6" ht="15.75" customHeight="1">
      <c r="A252" s="3"/>
      <c r="B252" s="3"/>
      <c r="C252" s="3"/>
      <c r="D252" s="3"/>
      <c r="E252" s="3"/>
      <c r="F252" s="3"/>
    </row>
    <row r="253" spans="1:6" ht="15.75" customHeight="1">
      <c r="A253" s="3"/>
      <c r="B253" s="3"/>
      <c r="C253" s="3"/>
      <c r="D253" s="3"/>
      <c r="E253" s="3"/>
      <c r="F253" s="3"/>
    </row>
    <row r="254" spans="1:6" ht="15.75" customHeight="1">
      <c r="A254" s="3"/>
      <c r="B254" s="3"/>
      <c r="C254" s="3"/>
      <c r="D254" s="3"/>
      <c r="E254" s="3"/>
      <c r="F254" s="3"/>
    </row>
    <row r="255" spans="1:6" ht="15.75" customHeight="1">
      <c r="A255" s="3"/>
      <c r="B255" s="3"/>
      <c r="C255" s="3"/>
      <c r="D255" s="3"/>
      <c r="E255" s="3"/>
      <c r="F255" s="3"/>
    </row>
    <row r="256" spans="1:6" ht="15.75" customHeight="1">
      <c r="A256" s="3"/>
      <c r="B256" s="3"/>
      <c r="C256" s="3"/>
      <c r="D256" s="3"/>
      <c r="E256" s="3"/>
      <c r="F256" s="3"/>
    </row>
    <row r="257" spans="1:6" ht="15.75" customHeight="1">
      <c r="A257" s="3"/>
      <c r="B257" s="3"/>
      <c r="C257" s="3"/>
      <c r="D257" s="3"/>
      <c r="E257" s="3"/>
      <c r="F257" s="3"/>
    </row>
    <row r="258" spans="1:6" ht="15.75" customHeight="1">
      <c r="A258" s="3"/>
      <c r="B258" s="3"/>
      <c r="C258" s="3"/>
      <c r="D258" s="3"/>
      <c r="E258" s="3"/>
      <c r="F258" s="3"/>
    </row>
    <row r="259" spans="1:6" ht="15.75" customHeight="1">
      <c r="A259" s="3"/>
      <c r="B259" s="3"/>
      <c r="C259" s="3"/>
      <c r="D259" s="3"/>
      <c r="E259" s="3"/>
      <c r="F259" s="3"/>
    </row>
    <row r="260" spans="1:6" ht="15.75" customHeight="1">
      <c r="A260" s="3"/>
      <c r="B260" s="3"/>
      <c r="C260" s="3"/>
      <c r="D260" s="3"/>
      <c r="E260" s="3"/>
      <c r="F260" s="3"/>
    </row>
    <row r="261" spans="1:6" ht="15.75" customHeight="1">
      <c r="A261" s="3"/>
      <c r="B261" s="3"/>
      <c r="C261" s="3"/>
      <c r="D261" s="3"/>
      <c r="E261" s="3"/>
      <c r="F261" s="3"/>
    </row>
    <row r="262" spans="1:6" ht="15.75" customHeight="1">
      <c r="A262" s="3"/>
      <c r="B262" s="3"/>
      <c r="C262" s="3"/>
      <c r="D262" s="3"/>
      <c r="E262" s="3"/>
      <c r="F262" s="3"/>
    </row>
    <row r="263" spans="1:6" ht="15.75" customHeight="1">
      <c r="A263" s="3"/>
      <c r="B263" s="3"/>
      <c r="C263" s="3"/>
      <c r="D263" s="3"/>
      <c r="E263" s="3"/>
      <c r="F263" s="3"/>
    </row>
    <row r="264" spans="1:6" ht="15.75" customHeight="1">
      <c r="A264" s="3"/>
      <c r="B264" s="3"/>
      <c r="C264" s="3"/>
      <c r="D264" s="3"/>
      <c r="E264" s="3"/>
      <c r="F264" s="3"/>
    </row>
    <row r="265" spans="1:6" ht="15.75" customHeight="1">
      <c r="A265" s="3"/>
      <c r="B265" s="3"/>
      <c r="C265" s="3"/>
      <c r="D265" s="3"/>
      <c r="E265" s="3"/>
      <c r="F265" s="3"/>
    </row>
    <row r="266" spans="1:6" ht="15.75" customHeight="1">
      <c r="A266" s="3"/>
      <c r="B266" s="3"/>
      <c r="C266" s="3"/>
      <c r="D266" s="3"/>
      <c r="E266" s="3"/>
      <c r="F266" s="3"/>
    </row>
    <row r="267" spans="1:6" ht="15.75" customHeight="1">
      <c r="A267" s="3"/>
      <c r="B267" s="3"/>
      <c r="C267" s="3"/>
      <c r="D267" s="3"/>
      <c r="E267" s="3"/>
      <c r="F267" s="3"/>
    </row>
    <row r="268" spans="1:6" ht="15.75" customHeight="1">
      <c r="A268" s="3"/>
      <c r="B268" s="3"/>
      <c r="C268" s="3"/>
      <c r="D268" s="3"/>
      <c r="E268" s="3"/>
      <c r="F268" s="3"/>
    </row>
    <row r="269" spans="1:6" ht="15.75" customHeight="1">
      <c r="A269" s="3"/>
      <c r="B269" s="3"/>
      <c r="C269" s="3"/>
      <c r="D269" s="3"/>
      <c r="E269" s="3"/>
      <c r="F269" s="3"/>
    </row>
    <row r="270" spans="1:6" ht="15.75" customHeight="1">
      <c r="A270" s="3"/>
      <c r="B270" s="3"/>
      <c r="C270" s="3"/>
      <c r="D270" s="3"/>
      <c r="E270" s="3"/>
      <c r="F270" s="3"/>
    </row>
    <row r="271" spans="1:6" ht="15.75" customHeight="1">
      <c r="A271" s="3"/>
      <c r="B271" s="3"/>
      <c r="C271" s="3"/>
      <c r="D271" s="3"/>
      <c r="E271" s="3"/>
      <c r="F271" s="3"/>
    </row>
    <row r="272" spans="1:6" ht="15.75" customHeight="1">
      <c r="A272" s="3"/>
      <c r="B272" s="3"/>
      <c r="C272" s="3"/>
      <c r="D272" s="3"/>
      <c r="E272" s="3"/>
      <c r="F272" s="3"/>
    </row>
    <row r="273" spans="1:6" ht="15.75" customHeight="1">
      <c r="A273" s="3"/>
      <c r="B273" s="3"/>
      <c r="C273" s="3"/>
      <c r="D273" s="3"/>
      <c r="E273" s="3"/>
      <c r="F273" s="3"/>
    </row>
    <row r="274" spans="1:6" ht="15.75" customHeight="1">
      <c r="A274" s="3"/>
      <c r="B274" s="3"/>
      <c r="C274" s="3"/>
      <c r="D274" s="3"/>
      <c r="E274" s="3"/>
      <c r="F274" s="3"/>
    </row>
    <row r="275" spans="1:6" ht="15.75" customHeight="1">
      <c r="A275" s="3"/>
      <c r="B275" s="3"/>
      <c r="C275" s="3"/>
      <c r="D275" s="3"/>
      <c r="E275" s="3"/>
      <c r="F275" s="3"/>
    </row>
    <row r="276" spans="1:6" ht="15.75" customHeight="1">
      <c r="A276" s="3"/>
      <c r="B276" s="3"/>
      <c r="C276" s="3"/>
      <c r="D276" s="3"/>
      <c r="E276" s="3"/>
      <c r="F276" s="3"/>
    </row>
    <row r="277" spans="1:6" ht="15.75" customHeight="1">
      <c r="A277" s="3"/>
      <c r="B277" s="3"/>
      <c r="C277" s="3"/>
      <c r="D277" s="3"/>
      <c r="E277" s="3"/>
      <c r="F277" s="3"/>
    </row>
    <row r="278" spans="1:6" ht="15.75" customHeight="1">
      <c r="A278" s="3"/>
      <c r="B278" s="3"/>
      <c r="C278" s="3"/>
      <c r="D278" s="3"/>
      <c r="E278" s="3"/>
      <c r="F278" s="3"/>
    </row>
    <row r="279" spans="1:6" ht="15.75" customHeight="1">
      <c r="A279" s="3"/>
      <c r="B279" s="3"/>
      <c r="C279" s="3"/>
      <c r="D279" s="3"/>
      <c r="E279" s="3"/>
      <c r="F279" s="3"/>
    </row>
    <row r="280" spans="1:6" ht="15.75" customHeight="1">
      <c r="A280" s="3"/>
      <c r="B280" s="3"/>
      <c r="C280" s="3"/>
      <c r="D280" s="3"/>
      <c r="E280" s="3"/>
      <c r="F280" s="3"/>
    </row>
    <row r="281" spans="1:6" ht="15.75" customHeight="1">
      <c r="A281" s="3"/>
      <c r="B281" s="3"/>
      <c r="C281" s="3"/>
      <c r="D281" s="3"/>
      <c r="E281" s="3"/>
      <c r="F281" s="3"/>
    </row>
    <row r="282" spans="1:6" ht="15.75" customHeight="1">
      <c r="A282" s="3"/>
      <c r="B282" s="3"/>
      <c r="C282" s="3"/>
      <c r="D282" s="3"/>
      <c r="E282" s="3"/>
      <c r="F282" s="3"/>
    </row>
    <row r="283" spans="1:6" ht="15.75" customHeight="1">
      <c r="A283" s="3"/>
      <c r="B283" s="3"/>
      <c r="C283" s="3"/>
      <c r="D283" s="3"/>
      <c r="E283" s="3"/>
      <c r="F283" s="3"/>
    </row>
    <row r="284" spans="1:6" ht="15.75" customHeight="1">
      <c r="A284" s="3"/>
      <c r="B284" s="3"/>
      <c r="C284" s="3"/>
      <c r="D284" s="3"/>
      <c r="E284" s="3"/>
      <c r="F284" s="3"/>
    </row>
    <row r="285" spans="1:6" ht="15.75" customHeight="1">
      <c r="A285" s="3"/>
      <c r="B285" s="3"/>
      <c r="C285" s="3"/>
      <c r="D285" s="3"/>
      <c r="E285" s="3"/>
      <c r="F285" s="3"/>
    </row>
    <row r="286" spans="1:6" ht="15.75" customHeight="1">
      <c r="A286" s="3"/>
      <c r="B286" s="3"/>
      <c r="C286" s="3"/>
      <c r="D286" s="3"/>
      <c r="E286" s="3"/>
      <c r="F286" s="3"/>
    </row>
    <row r="287" spans="1:6" ht="15.75" customHeight="1">
      <c r="A287" s="3"/>
      <c r="B287" s="3"/>
      <c r="C287" s="3"/>
      <c r="D287" s="3"/>
      <c r="E287" s="3"/>
      <c r="F287" s="3"/>
    </row>
    <row r="288" spans="1:6" ht="15.75" customHeight="1">
      <c r="A288" s="3"/>
      <c r="B288" s="3"/>
      <c r="C288" s="3"/>
      <c r="D288" s="3"/>
      <c r="E288" s="3"/>
      <c r="F288" s="3"/>
    </row>
    <row r="289" spans="1:6" ht="15.75" customHeight="1">
      <c r="A289" s="3"/>
      <c r="B289" s="3"/>
      <c r="C289" s="3"/>
      <c r="D289" s="3"/>
      <c r="E289" s="3"/>
      <c r="F289" s="3"/>
    </row>
    <row r="290" spans="1:6" ht="15.75" customHeight="1">
      <c r="A290" s="3"/>
      <c r="B290" s="3"/>
      <c r="C290" s="3"/>
      <c r="D290" s="3"/>
      <c r="E290" s="3"/>
      <c r="F290" s="3"/>
    </row>
    <row r="291" spans="1:6" ht="15.75" customHeight="1">
      <c r="A291" s="3"/>
      <c r="B291" s="3"/>
      <c r="C291" s="3"/>
      <c r="D291" s="3"/>
      <c r="E291" s="3"/>
      <c r="F291" s="3"/>
    </row>
    <row r="292" spans="1:6" ht="15.75" customHeight="1">
      <c r="A292" s="3"/>
      <c r="B292" s="3"/>
      <c r="C292" s="3"/>
      <c r="D292" s="3"/>
      <c r="E292" s="3"/>
      <c r="F292" s="3"/>
    </row>
    <row r="293" spans="1:6" ht="15.75" customHeight="1">
      <c r="A293" s="3"/>
      <c r="B293" s="3"/>
      <c r="C293" s="3"/>
      <c r="D293" s="3"/>
      <c r="E293" s="3"/>
      <c r="F293" s="3"/>
    </row>
    <row r="294" spans="1:6" ht="15.75" customHeight="1">
      <c r="A294" s="3"/>
      <c r="B294" s="3"/>
      <c r="C294" s="3"/>
      <c r="D294" s="3"/>
      <c r="E294" s="3"/>
      <c r="F294" s="3"/>
    </row>
    <row r="295" spans="1:6" ht="15.75" customHeight="1">
      <c r="A295" s="3"/>
      <c r="B295" s="3"/>
      <c r="C295" s="3"/>
      <c r="D295" s="3"/>
      <c r="E295" s="3"/>
      <c r="F295" s="3"/>
    </row>
    <row r="296" spans="1:6" ht="15.75" customHeight="1">
      <c r="A296" s="3"/>
      <c r="B296" s="3"/>
      <c r="C296" s="3"/>
      <c r="D296" s="3"/>
      <c r="E296" s="3"/>
      <c r="F296" s="3"/>
    </row>
    <row r="297" spans="1:6" ht="15.75" customHeight="1">
      <c r="A297" s="3"/>
      <c r="B297" s="3"/>
      <c r="C297" s="3"/>
      <c r="D297" s="3"/>
      <c r="E297" s="3"/>
      <c r="F297" s="3"/>
    </row>
    <row r="298" spans="1:6" ht="15.75" customHeight="1">
      <c r="A298" s="3"/>
      <c r="B298" s="3"/>
      <c r="C298" s="3"/>
      <c r="D298" s="3"/>
      <c r="E298" s="3"/>
      <c r="F298" s="3"/>
    </row>
    <row r="299" spans="1:6" ht="15.75" customHeight="1">
      <c r="A299" s="3"/>
      <c r="B299" s="3"/>
      <c r="C299" s="3"/>
      <c r="D299" s="3"/>
      <c r="E299" s="3"/>
      <c r="F299" s="3"/>
    </row>
    <row r="300" spans="1:6" ht="15.75" customHeight="1">
      <c r="A300" s="3"/>
      <c r="B300" s="3"/>
      <c r="C300" s="3"/>
      <c r="D300" s="3"/>
      <c r="E300" s="3"/>
      <c r="F300" s="3"/>
    </row>
    <row r="301" spans="1:6" ht="15.75" customHeight="1">
      <c r="A301" s="3"/>
      <c r="B301" s="3"/>
      <c r="C301" s="3"/>
      <c r="D301" s="3"/>
      <c r="E301" s="3"/>
      <c r="F301" s="3"/>
    </row>
    <row r="302" spans="1:6" ht="15.75" customHeight="1">
      <c r="A302" s="3"/>
      <c r="B302" s="3"/>
      <c r="C302" s="3"/>
      <c r="D302" s="3"/>
      <c r="E302" s="3"/>
      <c r="F302" s="3"/>
    </row>
    <row r="303" spans="1:6" ht="15.75" customHeight="1">
      <c r="A303" s="3"/>
      <c r="B303" s="3"/>
      <c r="C303" s="3"/>
      <c r="D303" s="3"/>
      <c r="E303" s="3"/>
      <c r="F303" s="3"/>
    </row>
    <row r="304" spans="1:6" ht="15.75" customHeight="1">
      <c r="A304" s="3"/>
      <c r="B304" s="3"/>
      <c r="C304" s="3"/>
      <c r="D304" s="3"/>
      <c r="E304" s="3"/>
      <c r="F304" s="3"/>
    </row>
    <row r="305" spans="1:6" ht="15.75" customHeight="1">
      <c r="A305" s="3"/>
      <c r="B305" s="3"/>
      <c r="C305" s="3"/>
      <c r="D305" s="3"/>
      <c r="E305" s="3"/>
      <c r="F305" s="3"/>
    </row>
    <row r="306" spans="1:6" ht="15.75" customHeight="1">
      <c r="A306" s="3"/>
      <c r="B306" s="3"/>
      <c r="C306" s="3"/>
      <c r="D306" s="3"/>
      <c r="E306" s="3"/>
      <c r="F306" s="3"/>
    </row>
    <row r="307" spans="1:6" ht="15.75" customHeight="1">
      <c r="A307" s="3"/>
      <c r="B307" s="3"/>
      <c r="C307" s="3"/>
      <c r="D307" s="3"/>
      <c r="E307" s="3"/>
      <c r="F307" s="3"/>
    </row>
    <row r="308" spans="1:6" ht="15.75" customHeight="1">
      <c r="A308" s="3"/>
      <c r="B308" s="3"/>
      <c r="C308" s="3"/>
      <c r="D308" s="3"/>
      <c r="E308" s="3"/>
      <c r="F308" s="3"/>
    </row>
    <row r="309" spans="1:6" ht="15.75" customHeight="1">
      <c r="A309" s="3"/>
      <c r="B309" s="3"/>
      <c r="C309" s="3"/>
      <c r="D309" s="3"/>
      <c r="E309" s="3"/>
      <c r="F309" s="3"/>
    </row>
    <row r="310" spans="1:6" ht="15.75" customHeight="1">
      <c r="A310" s="3"/>
      <c r="B310" s="3"/>
      <c r="C310" s="3"/>
      <c r="D310" s="3"/>
      <c r="E310" s="3"/>
      <c r="F310" s="3"/>
    </row>
    <row r="311" spans="1:6" ht="15.75" customHeight="1">
      <c r="A311" s="3"/>
      <c r="B311" s="3"/>
      <c r="C311" s="3"/>
      <c r="D311" s="3"/>
      <c r="E311" s="3"/>
      <c r="F311" s="3"/>
    </row>
    <row r="312" spans="1:6" ht="15.75" customHeight="1">
      <c r="A312" s="3"/>
      <c r="B312" s="3"/>
      <c r="C312" s="3"/>
      <c r="D312" s="3"/>
      <c r="E312" s="3"/>
      <c r="F312" s="3"/>
    </row>
    <row r="313" spans="1:6" ht="15.75" customHeight="1">
      <c r="A313" s="3"/>
      <c r="B313" s="3"/>
      <c r="C313" s="3"/>
      <c r="D313" s="3"/>
      <c r="E313" s="3"/>
      <c r="F313" s="3"/>
    </row>
    <row r="314" spans="1:6" ht="15.75" customHeight="1">
      <c r="A314" s="3"/>
      <c r="B314" s="3"/>
      <c r="C314" s="3"/>
      <c r="D314" s="3"/>
      <c r="E314" s="3"/>
      <c r="F314" s="3"/>
    </row>
    <row r="315" spans="1:6" ht="15.75" customHeight="1">
      <c r="A315" s="3"/>
      <c r="B315" s="3"/>
      <c r="C315" s="3"/>
      <c r="D315" s="3"/>
      <c r="E315" s="3"/>
      <c r="F315" s="3"/>
    </row>
    <row r="316" spans="1:6" ht="15.75" customHeight="1">
      <c r="A316" s="3"/>
      <c r="B316" s="3"/>
      <c r="C316" s="3"/>
      <c r="D316" s="3"/>
      <c r="E316" s="3"/>
      <c r="F316" s="3"/>
    </row>
    <row r="317" spans="1:6" ht="15.75" customHeight="1">
      <c r="A317" s="3"/>
      <c r="B317" s="3"/>
      <c r="C317" s="3"/>
      <c r="D317" s="3"/>
      <c r="E317" s="3"/>
      <c r="F317" s="3"/>
    </row>
    <row r="318" spans="1:6" ht="15.75" customHeight="1">
      <c r="A318" s="3"/>
      <c r="B318" s="3"/>
      <c r="C318" s="3"/>
      <c r="D318" s="3"/>
      <c r="E318" s="3"/>
      <c r="F318" s="3"/>
    </row>
    <row r="319" spans="1:6" ht="15.75" customHeight="1">
      <c r="A319" s="3"/>
      <c r="B319" s="3"/>
      <c r="C319" s="3"/>
      <c r="D319" s="3"/>
      <c r="E319" s="3"/>
      <c r="F319" s="3"/>
    </row>
    <row r="320" spans="1:6" ht="15.75" customHeight="1">
      <c r="A320" s="3"/>
      <c r="B320" s="3"/>
      <c r="C320" s="3"/>
      <c r="D320" s="3"/>
      <c r="E320" s="3"/>
      <c r="F320" s="3"/>
    </row>
    <row r="321" spans="1:6" ht="15.75" customHeight="1">
      <c r="A321" s="3"/>
      <c r="B321" s="3"/>
      <c r="C321" s="3"/>
      <c r="D321" s="3"/>
      <c r="E321" s="3"/>
      <c r="F321" s="3"/>
    </row>
    <row r="322" spans="1:6" ht="15.75" customHeight="1">
      <c r="A322" s="3"/>
      <c r="B322" s="3"/>
      <c r="C322" s="3"/>
      <c r="D322" s="3"/>
      <c r="E322" s="3"/>
      <c r="F322" s="3"/>
    </row>
    <row r="323" spans="1:6" ht="15.75" customHeight="1">
      <c r="A323" s="3"/>
      <c r="B323" s="3"/>
      <c r="C323" s="3"/>
      <c r="D323" s="3"/>
      <c r="E323" s="3"/>
      <c r="F323" s="3"/>
    </row>
    <row r="324" spans="1:6" ht="15.75" customHeight="1">
      <c r="A324" s="3"/>
      <c r="B324" s="3"/>
      <c r="C324" s="3"/>
      <c r="D324" s="3"/>
      <c r="E324" s="3"/>
      <c r="F324" s="3"/>
    </row>
    <row r="325" spans="1:6" ht="15.75" customHeight="1">
      <c r="A325" s="3"/>
      <c r="B325" s="3"/>
      <c r="C325" s="3"/>
      <c r="D325" s="3"/>
      <c r="E325" s="3"/>
      <c r="F325" s="3"/>
    </row>
    <row r="326" spans="1:6" ht="15.75" customHeight="1">
      <c r="A326" s="3"/>
      <c r="B326" s="3"/>
      <c r="C326" s="3"/>
      <c r="D326" s="3"/>
      <c r="E326" s="3"/>
      <c r="F326" s="3"/>
    </row>
    <row r="327" spans="1:6" ht="15.75" customHeight="1">
      <c r="A327" s="3"/>
      <c r="B327" s="3"/>
      <c r="C327" s="3"/>
      <c r="D327" s="3"/>
      <c r="E327" s="3"/>
      <c r="F327" s="3"/>
    </row>
    <row r="328" spans="1:6" ht="15.75" customHeight="1">
      <c r="A328" s="3"/>
      <c r="B328" s="3"/>
      <c r="C328" s="3"/>
      <c r="D328" s="3"/>
      <c r="E328" s="3"/>
      <c r="F328" s="3"/>
    </row>
    <row r="329" spans="1:6" ht="15.75" customHeight="1">
      <c r="A329" s="3"/>
      <c r="B329" s="3"/>
      <c r="C329" s="3"/>
      <c r="D329" s="3"/>
      <c r="E329" s="3"/>
      <c r="F329" s="3"/>
    </row>
    <row r="330" spans="1:6" ht="15.75" customHeight="1">
      <c r="A330" s="3"/>
      <c r="B330" s="3"/>
      <c r="C330" s="3"/>
      <c r="D330" s="3"/>
      <c r="E330" s="3"/>
      <c r="F330" s="3"/>
    </row>
    <row r="331" spans="1:6" ht="15.75" customHeight="1">
      <c r="A331" s="3"/>
      <c r="B331" s="3"/>
      <c r="C331" s="3"/>
      <c r="D331" s="3"/>
      <c r="E331" s="3"/>
      <c r="F331" s="3"/>
    </row>
    <row r="332" spans="1:6" ht="15.75" customHeight="1">
      <c r="A332" s="3"/>
      <c r="B332" s="3"/>
      <c r="C332" s="3"/>
      <c r="D332" s="3"/>
      <c r="E332" s="3"/>
      <c r="F332" s="3"/>
    </row>
    <row r="333" spans="1:6" ht="15.75" customHeight="1">
      <c r="A333" s="3"/>
      <c r="B333" s="3"/>
      <c r="C333" s="3"/>
      <c r="D333" s="3"/>
      <c r="E333" s="3"/>
      <c r="F333" s="3"/>
    </row>
    <row r="334" spans="1:6" ht="15.75" customHeight="1">
      <c r="A334" s="3"/>
      <c r="B334" s="3"/>
      <c r="C334" s="3"/>
      <c r="D334" s="3"/>
      <c r="E334" s="3"/>
      <c r="F334" s="3"/>
    </row>
    <row r="335" spans="1:6" ht="15.75" customHeight="1">
      <c r="A335" s="3"/>
      <c r="B335" s="3"/>
      <c r="C335" s="3"/>
      <c r="D335" s="3"/>
      <c r="E335" s="3"/>
      <c r="F335" s="3"/>
    </row>
    <row r="336" spans="1:6" ht="15.75" customHeight="1">
      <c r="A336" s="3"/>
      <c r="B336" s="3"/>
      <c r="C336" s="3"/>
      <c r="D336" s="3"/>
      <c r="E336" s="3"/>
      <c r="F336" s="3"/>
    </row>
    <row r="337" spans="1:6" ht="15.75" customHeight="1">
      <c r="A337" s="3"/>
      <c r="B337" s="3"/>
      <c r="C337" s="3"/>
      <c r="D337" s="3"/>
      <c r="E337" s="3"/>
      <c r="F337" s="3"/>
    </row>
    <row r="338" spans="1:6" ht="15.75" customHeight="1">
      <c r="A338" s="3"/>
      <c r="B338" s="3"/>
      <c r="C338" s="3"/>
      <c r="D338" s="3"/>
      <c r="E338" s="3"/>
      <c r="F338" s="3"/>
    </row>
    <row r="339" spans="1:6" ht="15.75" customHeight="1">
      <c r="A339" s="3"/>
      <c r="B339" s="3"/>
      <c r="C339" s="3"/>
      <c r="D339" s="3"/>
      <c r="E339" s="3"/>
      <c r="F339" s="3"/>
    </row>
    <row r="340" spans="1:6" ht="15.75" customHeight="1">
      <c r="A340" s="3"/>
      <c r="B340" s="3"/>
      <c r="C340" s="3"/>
      <c r="D340" s="3"/>
      <c r="E340" s="3"/>
      <c r="F340" s="3"/>
    </row>
    <row r="341" spans="1:6" ht="15.75" customHeight="1">
      <c r="A341" s="3"/>
      <c r="B341" s="3"/>
      <c r="C341" s="3"/>
      <c r="D341" s="3"/>
      <c r="E341" s="3"/>
      <c r="F341" s="3"/>
    </row>
    <row r="342" spans="1:6" ht="15.75" customHeight="1">
      <c r="A342" s="3"/>
      <c r="B342" s="3"/>
      <c r="C342" s="3"/>
      <c r="D342" s="3"/>
      <c r="E342" s="3"/>
      <c r="F342" s="3"/>
    </row>
    <row r="343" spans="1:6" ht="15.75" customHeight="1">
      <c r="A343" s="3"/>
      <c r="B343" s="3"/>
      <c r="C343" s="3"/>
      <c r="D343" s="3"/>
      <c r="E343" s="3"/>
      <c r="F343" s="3"/>
    </row>
    <row r="344" spans="1:6" ht="15.75" customHeight="1">
      <c r="A344" s="3"/>
      <c r="B344" s="3"/>
      <c r="C344" s="3"/>
      <c r="D344" s="3"/>
      <c r="E344" s="3"/>
      <c r="F344" s="3"/>
    </row>
    <row r="345" spans="1:6" ht="15.75" customHeight="1">
      <c r="A345" s="3"/>
      <c r="B345" s="3"/>
      <c r="C345" s="3"/>
      <c r="D345" s="3"/>
      <c r="E345" s="3"/>
      <c r="F345" s="3"/>
    </row>
    <row r="346" spans="1:6" ht="15.75" customHeight="1">
      <c r="A346" s="3"/>
      <c r="B346" s="3"/>
      <c r="C346" s="3"/>
      <c r="D346" s="3"/>
      <c r="E346" s="3"/>
      <c r="F346" s="3"/>
    </row>
    <row r="347" spans="1:6" ht="15.75" customHeight="1">
      <c r="A347" s="3"/>
      <c r="B347" s="3"/>
      <c r="C347" s="3"/>
      <c r="D347" s="3"/>
      <c r="E347" s="3"/>
      <c r="F347" s="3"/>
    </row>
    <row r="348" spans="1:6" ht="15.75" customHeight="1">
      <c r="A348" s="3"/>
      <c r="B348" s="3"/>
      <c r="C348" s="3"/>
      <c r="D348" s="3"/>
      <c r="E348" s="3"/>
      <c r="F348" s="3"/>
    </row>
    <row r="349" spans="1:6" ht="15.75" customHeight="1">
      <c r="A349" s="3"/>
      <c r="B349" s="3"/>
      <c r="C349" s="3"/>
      <c r="D349" s="3"/>
      <c r="E349" s="3"/>
      <c r="F349" s="3"/>
    </row>
    <row r="350" spans="1:6" ht="15.75" customHeight="1">
      <c r="A350" s="3"/>
      <c r="B350" s="3"/>
      <c r="C350" s="3"/>
      <c r="D350" s="3"/>
      <c r="E350" s="3"/>
      <c r="F350" s="3"/>
    </row>
    <row r="351" spans="1:6" ht="15.75" customHeight="1">
      <c r="A351" s="3"/>
      <c r="B351" s="3"/>
      <c r="C351" s="3"/>
      <c r="D351" s="3"/>
      <c r="E351" s="3"/>
      <c r="F351" s="3"/>
    </row>
    <row r="352" spans="1:6" ht="15.75" customHeight="1">
      <c r="A352" s="3"/>
      <c r="B352" s="3"/>
      <c r="C352" s="3"/>
      <c r="D352" s="3"/>
      <c r="E352" s="3"/>
      <c r="F352" s="3"/>
    </row>
    <row r="353" spans="1:6" ht="15.75" customHeight="1">
      <c r="A353" s="3"/>
      <c r="B353" s="3"/>
      <c r="C353" s="3"/>
      <c r="D353" s="3"/>
      <c r="E353" s="3"/>
      <c r="F353" s="3"/>
    </row>
    <row r="354" spans="1:6" ht="15.75" customHeight="1">
      <c r="A354" s="3"/>
      <c r="B354" s="3"/>
      <c r="C354" s="3"/>
      <c r="D354" s="3"/>
      <c r="E354" s="3"/>
      <c r="F354" s="3"/>
    </row>
    <row r="355" spans="1:6" ht="15.75" customHeight="1">
      <c r="A355" s="3"/>
      <c r="B355" s="3"/>
      <c r="C355" s="3"/>
      <c r="D355" s="3"/>
      <c r="E355" s="3"/>
      <c r="F355" s="3"/>
    </row>
    <row r="356" spans="1:6" ht="15.75" customHeight="1">
      <c r="A356" s="3"/>
      <c r="B356" s="3"/>
      <c r="C356" s="3"/>
      <c r="D356" s="3"/>
      <c r="E356" s="3"/>
      <c r="F356" s="3"/>
    </row>
    <row r="357" spans="1:6" ht="15.75" customHeight="1">
      <c r="A357" s="3"/>
      <c r="B357" s="3"/>
      <c r="C357" s="3"/>
      <c r="D357" s="3"/>
      <c r="E357" s="3"/>
      <c r="F357" s="3"/>
    </row>
    <row r="358" spans="1:6" ht="15.75" customHeight="1">
      <c r="A358" s="3"/>
      <c r="B358" s="3"/>
      <c r="C358" s="3"/>
      <c r="D358" s="3"/>
      <c r="E358" s="3"/>
      <c r="F358" s="3"/>
    </row>
    <row r="359" spans="1:6" ht="15.75" customHeight="1">
      <c r="A359" s="3"/>
      <c r="B359" s="3"/>
      <c r="C359" s="3"/>
      <c r="D359" s="3"/>
      <c r="E359" s="3"/>
      <c r="F359" s="3"/>
    </row>
    <row r="360" spans="1:6" ht="15.75" customHeight="1">
      <c r="A360" s="3"/>
      <c r="B360" s="3"/>
      <c r="C360" s="3"/>
      <c r="D360" s="3"/>
      <c r="E360" s="3"/>
      <c r="F360" s="3"/>
    </row>
    <row r="361" spans="1:6" ht="15.75" customHeight="1">
      <c r="A361" s="3"/>
      <c r="B361" s="3"/>
      <c r="C361" s="3"/>
      <c r="D361" s="3"/>
      <c r="E361" s="3"/>
      <c r="F361" s="3"/>
    </row>
    <row r="362" spans="1:6" ht="15.75" customHeight="1">
      <c r="A362" s="3"/>
      <c r="B362" s="3"/>
      <c r="C362" s="3"/>
      <c r="D362" s="3"/>
      <c r="E362" s="3"/>
      <c r="F362" s="3"/>
    </row>
    <row r="363" spans="1:6" ht="15.75" customHeight="1">
      <c r="A363" s="3"/>
      <c r="B363" s="3"/>
      <c r="C363" s="3"/>
      <c r="D363" s="3"/>
      <c r="E363" s="3"/>
      <c r="F363" s="3"/>
    </row>
    <row r="364" spans="1:6" ht="15.75" customHeight="1">
      <c r="A364" s="3"/>
      <c r="B364" s="3"/>
      <c r="C364" s="3"/>
      <c r="D364" s="3"/>
      <c r="E364" s="3"/>
      <c r="F364" s="3"/>
    </row>
    <row r="365" spans="1:6" ht="15.75" customHeight="1">
      <c r="A365" s="3"/>
      <c r="B365" s="3"/>
      <c r="C365" s="3"/>
      <c r="D365" s="3"/>
      <c r="E365" s="3"/>
      <c r="F365" s="3"/>
    </row>
    <row r="366" spans="1:6" ht="15.75" customHeight="1">
      <c r="A366" s="3"/>
      <c r="B366" s="3"/>
      <c r="C366" s="3"/>
      <c r="D366" s="3"/>
      <c r="E366" s="3"/>
      <c r="F366" s="3"/>
    </row>
    <row r="367" spans="1:6" ht="15.75" customHeight="1">
      <c r="A367" s="3"/>
      <c r="B367" s="3"/>
      <c r="C367" s="3"/>
      <c r="D367" s="3"/>
      <c r="E367" s="3"/>
      <c r="F367" s="3"/>
    </row>
    <row r="368" spans="1:6" ht="15.75" customHeight="1">
      <c r="A368" s="3"/>
      <c r="B368" s="3"/>
      <c r="C368" s="3"/>
      <c r="D368" s="3"/>
      <c r="E368" s="3"/>
      <c r="F368" s="3"/>
    </row>
    <row r="369" spans="1:6" ht="15.75" customHeight="1">
      <c r="A369" s="3"/>
      <c r="B369" s="3"/>
      <c r="C369" s="3"/>
      <c r="D369" s="3"/>
      <c r="E369" s="3"/>
      <c r="F369" s="3"/>
    </row>
    <row r="370" spans="1:6" ht="15.75" customHeight="1">
      <c r="A370" s="3"/>
      <c r="B370" s="3"/>
      <c r="C370" s="3"/>
      <c r="D370" s="3"/>
      <c r="E370" s="3"/>
      <c r="F370" s="3"/>
    </row>
    <row r="371" spans="1:6" ht="15.75" customHeight="1">
      <c r="A371" s="3"/>
      <c r="B371" s="3"/>
      <c r="C371" s="3"/>
      <c r="D371" s="3"/>
      <c r="E371" s="3"/>
      <c r="F371" s="3"/>
    </row>
    <row r="372" spans="1:6" ht="15.75" customHeight="1">
      <c r="A372" s="3"/>
      <c r="B372" s="3"/>
      <c r="C372" s="3"/>
      <c r="D372" s="3"/>
      <c r="E372" s="3"/>
      <c r="F372" s="3"/>
    </row>
    <row r="373" spans="1:6" ht="15.75" customHeight="1">
      <c r="A373" s="3"/>
      <c r="B373" s="3"/>
      <c r="C373" s="3"/>
      <c r="D373" s="3"/>
      <c r="E373" s="3"/>
      <c r="F373" s="3"/>
    </row>
    <row r="374" spans="1:6" ht="15.75" customHeight="1">
      <c r="A374" s="3"/>
      <c r="B374" s="3"/>
      <c r="C374" s="3"/>
      <c r="D374" s="3"/>
      <c r="E374" s="3"/>
      <c r="F374" s="3"/>
    </row>
    <row r="375" spans="1:6" ht="15.75" customHeight="1">
      <c r="A375" s="3"/>
      <c r="B375" s="3"/>
      <c r="C375" s="3"/>
      <c r="D375" s="3"/>
      <c r="E375" s="3"/>
      <c r="F375" s="3"/>
    </row>
    <row r="376" spans="1:6" ht="15.75" customHeight="1">
      <c r="A376" s="3"/>
      <c r="B376" s="3"/>
      <c r="C376" s="3"/>
      <c r="D376" s="3"/>
      <c r="E376" s="3"/>
      <c r="F376" s="3"/>
    </row>
    <row r="377" spans="1:6" ht="15.75" customHeight="1">
      <c r="A377" s="3"/>
      <c r="B377" s="3"/>
      <c r="C377" s="3"/>
      <c r="D377" s="3"/>
      <c r="E377" s="3"/>
      <c r="F377" s="3"/>
    </row>
    <row r="378" spans="1:6" ht="15.75" customHeight="1">
      <c r="A378" s="3"/>
      <c r="B378" s="3"/>
      <c r="C378" s="3"/>
      <c r="D378" s="3"/>
      <c r="E378" s="3"/>
      <c r="F378" s="3"/>
    </row>
    <row r="379" spans="1:6" ht="15.75" customHeight="1">
      <c r="A379" s="3"/>
      <c r="B379" s="3"/>
      <c r="C379" s="3"/>
      <c r="D379" s="3"/>
      <c r="E379" s="3"/>
      <c r="F379" s="3"/>
    </row>
    <row r="380" spans="1:6" ht="15.75" customHeight="1">
      <c r="A380" s="3"/>
      <c r="B380" s="3"/>
      <c r="C380" s="3"/>
      <c r="D380" s="3"/>
      <c r="E380" s="3"/>
      <c r="F380" s="3"/>
    </row>
    <row r="381" spans="1:6" ht="15.75" customHeight="1">
      <c r="A381" s="3"/>
      <c r="B381" s="3"/>
      <c r="C381" s="3"/>
      <c r="D381" s="3"/>
      <c r="E381" s="3"/>
      <c r="F381" s="3"/>
    </row>
    <row r="382" spans="1:6" ht="15.75" customHeight="1">
      <c r="A382" s="3"/>
      <c r="B382" s="3"/>
      <c r="C382" s="3"/>
      <c r="D382" s="3"/>
      <c r="E382" s="3"/>
      <c r="F382" s="3"/>
    </row>
    <row r="383" spans="1:6" ht="15.75" customHeight="1">
      <c r="A383" s="3"/>
      <c r="B383" s="3"/>
      <c r="C383" s="3"/>
      <c r="D383" s="3"/>
      <c r="E383" s="3"/>
      <c r="F383" s="3"/>
    </row>
    <row r="384" spans="1:6" ht="15.75" customHeight="1">
      <c r="A384" s="3"/>
      <c r="B384" s="3"/>
      <c r="C384" s="3"/>
      <c r="D384" s="3"/>
      <c r="E384" s="3"/>
      <c r="F384" s="3"/>
    </row>
    <row r="385" spans="1:6" ht="15.75" customHeight="1">
      <c r="A385" s="3"/>
      <c r="B385" s="3"/>
      <c r="C385" s="3"/>
      <c r="D385" s="3"/>
      <c r="E385" s="3"/>
      <c r="F385" s="3"/>
    </row>
    <row r="386" spans="1:6" ht="15.75" customHeight="1">
      <c r="A386" s="3"/>
      <c r="B386" s="3"/>
      <c r="C386" s="3"/>
      <c r="D386" s="3"/>
      <c r="E386" s="3"/>
      <c r="F386" s="3"/>
    </row>
    <row r="387" spans="1:6" ht="15.75" customHeight="1">
      <c r="A387" s="3"/>
      <c r="B387" s="3"/>
      <c r="C387" s="3"/>
      <c r="D387" s="3"/>
      <c r="E387" s="3"/>
      <c r="F387" s="3"/>
    </row>
    <row r="388" spans="1:6" ht="15.75" customHeight="1">
      <c r="A388" s="3"/>
      <c r="B388" s="3"/>
      <c r="C388" s="3"/>
      <c r="D388" s="3"/>
      <c r="E388" s="3"/>
      <c r="F388" s="3"/>
    </row>
    <row r="389" spans="1:6" ht="15.75" customHeight="1">
      <c r="A389" s="3"/>
      <c r="B389" s="3"/>
      <c r="C389" s="3"/>
      <c r="D389" s="3"/>
      <c r="E389" s="3"/>
      <c r="F389" s="3"/>
    </row>
    <row r="390" spans="1:6" ht="15.75" customHeight="1">
      <c r="A390" s="3"/>
      <c r="B390" s="3"/>
      <c r="C390" s="3"/>
      <c r="D390" s="3"/>
      <c r="E390" s="3"/>
      <c r="F390" s="3"/>
    </row>
    <row r="391" spans="1:6" ht="15.75" customHeight="1">
      <c r="A391" s="3"/>
      <c r="B391" s="3"/>
      <c r="C391" s="3"/>
      <c r="D391" s="3"/>
      <c r="E391" s="3"/>
      <c r="F391" s="3"/>
    </row>
    <row r="392" spans="1:6" ht="15.75" customHeight="1">
      <c r="A392" s="3"/>
      <c r="B392" s="3"/>
      <c r="C392" s="3"/>
      <c r="D392" s="3"/>
      <c r="E392" s="3"/>
      <c r="F392" s="3"/>
    </row>
    <row r="393" spans="1:6" ht="15.75" customHeight="1">
      <c r="A393" s="3"/>
      <c r="B393" s="3"/>
      <c r="C393" s="3"/>
      <c r="D393" s="3"/>
      <c r="E393" s="3"/>
      <c r="F393" s="3"/>
    </row>
    <row r="394" spans="1:6" ht="15.75" customHeight="1">
      <c r="A394" s="3"/>
      <c r="B394" s="3"/>
      <c r="C394" s="3"/>
      <c r="D394" s="3"/>
      <c r="E394" s="3"/>
      <c r="F394" s="3"/>
    </row>
    <row r="395" spans="1:6" ht="15.75" customHeight="1">
      <c r="A395" s="3"/>
      <c r="B395" s="3"/>
      <c r="C395" s="3"/>
      <c r="D395" s="3"/>
      <c r="E395" s="3"/>
      <c r="F395" s="3"/>
    </row>
    <row r="396" spans="1:6" ht="15.75" customHeight="1">
      <c r="A396" s="3"/>
      <c r="B396" s="3"/>
      <c r="C396" s="3"/>
      <c r="D396" s="3"/>
      <c r="E396" s="3"/>
      <c r="F396" s="3"/>
    </row>
    <row r="397" spans="1:6" ht="15.75" customHeight="1">
      <c r="A397" s="3"/>
      <c r="B397" s="3"/>
      <c r="C397" s="3"/>
      <c r="D397" s="3"/>
      <c r="E397" s="3"/>
      <c r="F397" s="3"/>
    </row>
    <row r="398" spans="1:6" ht="15.75" customHeight="1">
      <c r="A398" s="3"/>
      <c r="B398" s="3"/>
      <c r="C398" s="3"/>
      <c r="D398" s="3"/>
      <c r="E398" s="3"/>
      <c r="F398" s="3"/>
    </row>
    <row r="399" spans="1:6" ht="15.75" customHeight="1">
      <c r="A399" s="3"/>
      <c r="B399" s="3"/>
      <c r="C399" s="3"/>
      <c r="D399" s="3"/>
      <c r="E399" s="3"/>
      <c r="F399" s="3"/>
    </row>
    <row r="400" spans="1:6" ht="15.75" customHeight="1">
      <c r="A400" s="3"/>
      <c r="B400" s="3"/>
      <c r="C400" s="3"/>
      <c r="D400" s="3"/>
      <c r="E400" s="3"/>
      <c r="F400" s="3"/>
    </row>
    <row r="401" spans="1:6" ht="15.75" customHeight="1">
      <c r="A401" s="3"/>
      <c r="B401" s="3"/>
      <c r="C401" s="3"/>
      <c r="D401" s="3"/>
      <c r="E401" s="3"/>
      <c r="F401" s="3"/>
    </row>
    <row r="402" spans="1:6" ht="15.75" customHeight="1">
      <c r="A402" s="3"/>
      <c r="B402" s="3"/>
      <c r="C402" s="3"/>
      <c r="D402" s="3"/>
      <c r="E402" s="3"/>
      <c r="F402" s="3"/>
    </row>
    <row r="403" spans="1:6" ht="15.75" customHeight="1">
      <c r="A403" s="3"/>
      <c r="B403" s="3"/>
      <c r="C403" s="3"/>
      <c r="D403" s="3"/>
      <c r="E403" s="3"/>
      <c r="F403" s="3"/>
    </row>
    <row r="404" spans="1:6" ht="15.75" customHeight="1">
      <c r="A404" s="3"/>
      <c r="B404" s="3"/>
      <c r="C404" s="3"/>
      <c r="D404" s="3"/>
      <c r="E404" s="3"/>
      <c r="F404" s="3"/>
    </row>
    <row r="405" spans="1:6" ht="15.75" customHeight="1">
      <c r="A405" s="3"/>
      <c r="B405" s="3"/>
      <c r="C405" s="3"/>
      <c r="D405" s="3"/>
      <c r="E405" s="3"/>
      <c r="F405" s="3"/>
    </row>
    <row r="406" spans="1:6" ht="15.75" customHeight="1">
      <c r="A406" s="3"/>
      <c r="B406" s="3"/>
      <c r="C406" s="3"/>
      <c r="D406" s="3"/>
      <c r="E406" s="3"/>
      <c r="F406" s="3"/>
    </row>
    <row r="407" spans="1:6" ht="15.75" customHeight="1">
      <c r="A407" s="3"/>
      <c r="B407" s="3"/>
      <c r="C407" s="3"/>
      <c r="D407" s="3"/>
      <c r="E407" s="3"/>
      <c r="F407" s="3"/>
    </row>
    <row r="408" spans="1:6" ht="15.75" customHeight="1">
      <c r="A408" s="3"/>
      <c r="B408" s="3"/>
      <c r="C408" s="3"/>
      <c r="D408" s="3"/>
      <c r="E408" s="3"/>
      <c r="F408" s="3"/>
    </row>
    <row r="409" spans="1:6" ht="15.75" customHeight="1">
      <c r="A409" s="3"/>
      <c r="B409" s="3"/>
      <c r="C409" s="3"/>
      <c r="D409" s="3"/>
      <c r="E409" s="3"/>
      <c r="F409" s="3"/>
    </row>
    <row r="410" spans="1:6" ht="15.75" customHeight="1">
      <c r="A410" s="3"/>
      <c r="B410" s="3"/>
      <c r="C410" s="3"/>
      <c r="D410" s="3"/>
      <c r="E410" s="3"/>
      <c r="F410" s="3"/>
    </row>
    <row r="411" spans="1:6" ht="15.75" customHeight="1">
      <c r="A411" s="3"/>
      <c r="B411" s="3"/>
      <c r="C411" s="3"/>
      <c r="D411" s="3"/>
      <c r="E411" s="3"/>
      <c r="F411" s="3"/>
    </row>
    <row r="412" spans="1:6" ht="15.75" customHeight="1">
      <c r="A412" s="3"/>
      <c r="B412" s="3"/>
      <c r="C412" s="3"/>
      <c r="D412" s="3"/>
      <c r="E412" s="3"/>
      <c r="F412" s="3"/>
    </row>
    <row r="413" spans="1:6" ht="15.75" customHeight="1">
      <c r="A413" s="3"/>
      <c r="B413" s="3"/>
      <c r="C413" s="3"/>
      <c r="D413" s="3"/>
      <c r="E413" s="3"/>
      <c r="F413" s="3"/>
    </row>
    <row r="414" spans="1:6" ht="15.75" customHeight="1">
      <c r="A414" s="3"/>
      <c r="B414" s="3"/>
      <c r="C414" s="3"/>
      <c r="D414" s="3"/>
      <c r="E414" s="3"/>
      <c r="F414" s="3"/>
    </row>
    <row r="415" spans="1:6" ht="15.75" customHeight="1">
      <c r="A415" s="3"/>
      <c r="B415" s="3"/>
      <c r="C415" s="3"/>
      <c r="D415" s="3"/>
      <c r="E415" s="3"/>
      <c r="F415" s="3"/>
    </row>
    <row r="416" spans="1:6" ht="15.75" customHeight="1">
      <c r="A416" s="3"/>
      <c r="B416" s="3"/>
      <c r="C416" s="3"/>
      <c r="D416" s="3"/>
      <c r="E416" s="3"/>
      <c r="F416" s="3"/>
    </row>
    <row r="417" spans="1:6" ht="15.75" customHeight="1">
      <c r="A417" s="3"/>
      <c r="B417" s="3"/>
      <c r="C417" s="3"/>
      <c r="D417" s="3"/>
      <c r="E417" s="3"/>
      <c r="F417" s="3"/>
    </row>
    <row r="418" spans="1:6" ht="15.75" customHeight="1">
      <c r="A418" s="3"/>
      <c r="B418" s="3"/>
      <c r="C418" s="3"/>
      <c r="D418" s="3"/>
      <c r="E418" s="3"/>
      <c r="F418" s="3"/>
    </row>
    <row r="419" spans="1:6" ht="15.75" customHeight="1">
      <c r="A419" s="3"/>
      <c r="B419" s="3"/>
      <c r="C419" s="3"/>
      <c r="D419" s="3"/>
      <c r="E419" s="3"/>
      <c r="F419" s="3"/>
    </row>
    <row r="420" spans="1:6" ht="15.75" customHeight="1">
      <c r="A420" s="3"/>
      <c r="B420" s="3"/>
      <c r="C420" s="3"/>
      <c r="D420" s="3"/>
      <c r="E420" s="3"/>
      <c r="F420" s="3"/>
    </row>
    <row r="421" spans="1:6" ht="15.75" customHeight="1">
      <c r="A421" s="3"/>
      <c r="B421" s="3"/>
      <c r="C421" s="3"/>
      <c r="D421" s="3"/>
      <c r="E421" s="3"/>
      <c r="F421" s="3"/>
    </row>
    <row r="422" spans="1:6" ht="15.75" customHeight="1">
      <c r="A422" s="3"/>
      <c r="B422" s="3"/>
      <c r="C422" s="3"/>
      <c r="D422" s="3"/>
      <c r="E422" s="3"/>
      <c r="F422" s="3"/>
    </row>
    <row r="423" spans="1:6" ht="15.75" customHeight="1">
      <c r="A423" s="3"/>
      <c r="B423" s="3"/>
      <c r="C423" s="3"/>
      <c r="D423" s="3"/>
      <c r="E423" s="3"/>
      <c r="F423" s="3"/>
    </row>
    <row r="424" spans="1:6" ht="15.75" customHeight="1">
      <c r="A424" s="3"/>
      <c r="B424" s="3"/>
      <c r="C424" s="3"/>
      <c r="D424" s="3"/>
      <c r="E424" s="3"/>
      <c r="F424" s="3"/>
    </row>
    <row r="425" spans="1:6" ht="15.75" customHeight="1">
      <c r="A425" s="3"/>
      <c r="B425" s="3"/>
      <c r="C425" s="3"/>
      <c r="D425" s="3"/>
      <c r="E425" s="3"/>
      <c r="F425" s="3"/>
    </row>
    <row r="426" spans="1:6" ht="15.75" customHeight="1">
      <c r="A426" s="3"/>
      <c r="B426" s="3"/>
      <c r="C426" s="3"/>
      <c r="D426" s="3"/>
      <c r="E426" s="3"/>
      <c r="F426" s="3"/>
    </row>
    <row r="427" spans="1:6" ht="15.75" customHeight="1">
      <c r="A427" s="3"/>
      <c r="B427" s="3"/>
      <c r="C427" s="3"/>
      <c r="D427" s="3"/>
      <c r="E427" s="3"/>
      <c r="F427" s="3"/>
    </row>
    <row r="428" spans="1:6" ht="15.75" customHeight="1">
      <c r="A428" s="3"/>
      <c r="B428" s="3"/>
      <c r="C428" s="3"/>
      <c r="D428" s="3"/>
      <c r="E428" s="3"/>
      <c r="F428" s="3"/>
    </row>
    <row r="429" spans="1:6" ht="15.75" customHeight="1">
      <c r="A429" s="3"/>
      <c r="B429" s="3"/>
      <c r="C429" s="3"/>
      <c r="D429" s="3"/>
      <c r="E429" s="3"/>
      <c r="F429" s="3"/>
    </row>
    <row r="430" spans="1:6" ht="15.75" customHeight="1">
      <c r="A430" s="3"/>
      <c r="B430" s="3"/>
      <c r="C430" s="3"/>
      <c r="D430" s="3"/>
      <c r="E430" s="3"/>
      <c r="F430" s="3"/>
    </row>
    <row r="431" spans="1:6" ht="15.75" customHeight="1">
      <c r="A431" s="3"/>
      <c r="B431" s="3"/>
      <c r="C431" s="3"/>
      <c r="D431" s="3"/>
      <c r="E431" s="3"/>
      <c r="F431" s="3"/>
    </row>
    <row r="432" spans="1:6" ht="15.75" customHeight="1">
      <c r="A432" s="3"/>
      <c r="B432" s="3"/>
      <c r="C432" s="3"/>
      <c r="D432" s="3"/>
      <c r="E432" s="3"/>
      <c r="F432" s="3"/>
    </row>
    <row r="433" spans="1:6" ht="15.75" customHeight="1">
      <c r="A433" s="3"/>
      <c r="B433" s="3"/>
      <c r="C433" s="3"/>
      <c r="D433" s="3"/>
      <c r="E433" s="3"/>
      <c r="F433" s="3"/>
    </row>
    <row r="434" spans="1:6" ht="15.75" customHeight="1">
      <c r="A434" s="3"/>
      <c r="B434" s="3"/>
      <c r="C434" s="3"/>
      <c r="D434" s="3"/>
      <c r="E434" s="3"/>
      <c r="F434" s="3"/>
    </row>
    <row r="435" spans="1:6" ht="15.75" customHeight="1">
      <c r="A435" s="3"/>
      <c r="B435" s="3"/>
      <c r="C435" s="3"/>
      <c r="D435" s="3"/>
      <c r="E435" s="3"/>
      <c r="F435" s="3"/>
    </row>
    <row r="436" spans="1:6" ht="15.75" customHeight="1">
      <c r="A436" s="3"/>
      <c r="B436" s="3"/>
      <c r="C436" s="3"/>
      <c r="D436" s="3"/>
      <c r="E436" s="3"/>
      <c r="F436" s="3"/>
    </row>
    <row r="437" spans="1:6" ht="15.75" customHeight="1">
      <c r="A437" s="3"/>
      <c r="B437" s="3"/>
      <c r="C437" s="3"/>
      <c r="D437" s="3"/>
      <c r="E437" s="3"/>
      <c r="F437" s="3"/>
    </row>
    <row r="438" spans="1:6" ht="15.75" customHeight="1">
      <c r="A438" s="3"/>
      <c r="B438" s="3"/>
      <c r="C438" s="3"/>
      <c r="D438" s="3"/>
      <c r="E438" s="3"/>
      <c r="F438" s="3"/>
    </row>
    <row r="439" spans="1:6" ht="15.75" customHeight="1">
      <c r="A439" s="3"/>
      <c r="B439" s="3"/>
      <c r="C439" s="3"/>
      <c r="D439" s="3"/>
      <c r="E439" s="3"/>
      <c r="F439" s="3"/>
    </row>
    <row r="440" spans="1:6" ht="15.75" customHeight="1">
      <c r="A440" s="3"/>
      <c r="B440" s="3"/>
      <c r="C440" s="3"/>
      <c r="D440" s="3"/>
      <c r="E440" s="3"/>
      <c r="F440" s="3"/>
    </row>
    <row r="441" spans="1:6" ht="15.75" customHeight="1">
      <c r="A441" s="3"/>
      <c r="B441" s="3"/>
      <c r="C441" s="3"/>
      <c r="D441" s="3"/>
      <c r="E441" s="3"/>
      <c r="F441" s="3"/>
    </row>
    <row r="442" spans="1:6" ht="15.75" customHeight="1">
      <c r="A442" s="3"/>
      <c r="B442" s="3"/>
      <c r="C442" s="3"/>
      <c r="D442" s="3"/>
      <c r="E442" s="3"/>
      <c r="F442" s="3"/>
    </row>
    <row r="443" spans="1:6" ht="15.75" customHeight="1">
      <c r="A443" s="3"/>
      <c r="B443" s="3"/>
      <c r="C443" s="3"/>
      <c r="D443" s="3"/>
      <c r="E443" s="3"/>
      <c r="F443" s="3"/>
    </row>
    <row r="444" spans="1:6" ht="15.75" customHeight="1">
      <c r="A444" s="3"/>
      <c r="B444" s="3"/>
      <c r="C444" s="3"/>
      <c r="D444" s="3"/>
      <c r="E444" s="3"/>
      <c r="F444" s="3"/>
    </row>
    <row r="445" spans="1:6" ht="15.75" customHeight="1">
      <c r="A445" s="3"/>
      <c r="B445" s="3"/>
      <c r="C445" s="3"/>
      <c r="D445" s="3"/>
      <c r="E445" s="3"/>
      <c r="F445" s="3"/>
    </row>
    <row r="446" spans="1:6" ht="15.75" customHeight="1">
      <c r="A446" s="3"/>
      <c r="B446" s="3"/>
      <c r="C446" s="3"/>
      <c r="D446" s="3"/>
      <c r="E446" s="3"/>
      <c r="F446" s="3"/>
    </row>
    <row r="447" spans="1:6" ht="15.75" customHeight="1">
      <c r="A447" s="3"/>
      <c r="B447" s="3"/>
      <c r="C447" s="3"/>
      <c r="D447" s="3"/>
      <c r="E447" s="3"/>
      <c r="F447" s="3"/>
    </row>
    <row r="448" spans="1:6" ht="15.75" customHeight="1">
      <c r="A448" s="3"/>
      <c r="B448" s="3"/>
      <c r="C448" s="3"/>
      <c r="D448" s="3"/>
      <c r="E448" s="3"/>
      <c r="F448" s="3"/>
    </row>
    <row r="449" spans="1:6" ht="15.75" customHeight="1">
      <c r="A449" s="3"/>
      <c r="B449" s="3"/>
      <c r="C449" s="3"/>
      <c r="D449" s="3"/>
      <c r="E449" s="3"/>
      <c r="F449" s="3"/>
    </row>
    <row r="450" spans="1:6" ht="15.75" customHeight="1">
      <c r="A450" s="3"/>
      <c r="B450" s="3"/>
      <c r="C450" s="3"/>
      <c r="D450" s="3"/>
      <c r="E450" s="3"/>
      <c r="F450" s="3"/>
    </row>
    <row r="451" spans="1:6" ht="15.75" customHeight="1">
      <c r="A451" s="3"/>
      <c r="B451" s="3"/>
      <c r="C451" s="3"/>
      <c r="D451" s="3"/>
      <c r="E451" s="3"/>
      <c r="F451" s="3"/>
    </row>
    <row r="452" spans="1:6" ht="15.75" customHeight="1">
      <c r="A452" s="3"/>
      <c r="B452" s="3"/>
      <c r="C452" s="3"/>
      <c r="D452" s="3"/>
      <c r="E452" s="3"/>
      <c r="F452" s="3"/>
    </row>
    <row r="453" spans="1:6" ht="15.75" customHeight="1">
      <c r="A453" s="3"/>
      <c r="B453" s="3"/>
      <c r="C453" s="3"/>
      <c r="D453" s="3"/>
      <c r="E453" s="3"/>
      <c r="F453" s="3"/>
    </row>
    <row r="454" spans="1:6" ht="15.75" customHeight="1">
      <c r="A454" s="3"/>
      <c r="B454" s="3"/>
      <c r="C454" s="3"/>
      <c r="D454" s="3"/>
      <c r="E454" s="3"/>
      <c r="F454" s="3"/>
    </row>
    <row r="455" spans="1:6" ht="15.75" customHeight="1">
      <c r="A455" s="3"/>
      <c r="B455" s="3"/>
      <c r="C455" s="3"/>
      <c r="D455" s="3"/>
      <c r="E455" s="3"/>
      <c r="F455" s="3"/>
    </row>
    <row r="456" spans="1:6" ht="15.75" customHeight="1">
      <c r="A456" s="3"/>
      <c r="B456" s="3"/>
      <c r="C456" s="3"/>
      <c r="D456" s="3"/>
      <c r="E456" s="3"/>
      <c r="F456" s="3"/>
    </row>
    <row r="457" spans="1:6" ht="15.75" customHeight="1">
      <c r="A457" s="3"/>
      <c r="B457" s="3"/>
      <c r="C457" s="3"/>
      <c r="D457" s="3"/>
      <c r="E457" s="3"/>
      <c r="F457" s="3"/>
    </row>
    <row r="458" spans="1:6" ht="15.75" customHeight="1">
      <c r="A458" s="3"/>
      <c r="B458" s="3"/>
      <c r="C458" s="3"/>
      <c r="D458" s="3"/>
      <c r="E458" s="3"/>
      <c r="F458" s="3"/>
    </row>
    <row r="459" spans="1:6" ht="15.75" customHeight="1">
      <c r="A459" s="3"/>
      <c r="B459" s="3"/>
      <c r="C459" s="3"/>
      <c r="D459" s="3"/>
      <c r="E459" s="3"/>
      <c r="F459" s="3"/>
    </row>
    <row r="460" spans="1:6" ht="15.75" customHeight="1">
      <c r="A460" s="3"/>
      <c r="B460" s="3"/>
      <c r="C460" s="3"/>
      <c r="D460" s="3"/>
      <c r="E460" s="3"/>
      <c r="F460" s="3"/>
    </row>
    <row r="461" spans="1:6" ht="15.75" customHeight="1">
      <c r="A461" s="3"/>
      <c r="B461" s="3"/>
      <c r="C461" s="3"/>
      <c r="D461" s="3"/>
      <c r="E461" s="3"/>
      <c r="F461" s="3"/>
    </row>
    <row r="462" spans="1:6" ht="15.75" customHeight="1">
      <c r="A462" s="3"/>
      <c r="B462" s="3"/>
      <c r="C462" s="3"/>
      <c r="D462" s="3"/>
      <c r="E462" s="3"/>
      <c r="F462" s="3"/>
    </row>
    <row r="463" spans="1:6" ht="15.75" customHeight="1">
      <c r="A463" s="3"/>
      <c r="B463" s="3"/>
      <c r="C463" s="3"/>
      <c r="D463" s="3"/>
      <c r="E463" s="3"/>
      <c r="F463" s="3"/>
    </row>
    <row r="464" spans="1:6" ht="15.75" customHeight="1">
      <c r="A464" s="3"/>
      <c r="B464" s="3"/>
      <c r="C464" s="3"/>
      <c r="D464" s="3"/>
      <c r="E464" s="3"/>
      <c r="F464" s="3"/>
    </row>
    <row r="465" spans="1:6" ht="15.75" customHeight="1">
      <c r="A465" s="3"/>
      <c r="B465" s="3"/>
      <c r="C465" s="3"/>
      <c r="D465" s="3"/>
      <c r="E465" s="3"/>
      <c r="F465" s="3"/>
    </row>
    <row r="466" spans="1:6" ht="15.75" customHeight="1">
      <c r="A466" s="3"/>
      <c r="B466" s="3"/>
      <c r="C466" s="3"/>
      <c r="D466" s="3"/>
      <c r="E466" s="3"/>
      <c r="F466" s="3"/>
    </row>
    <row r="467" spans="1:6" ht="15.75" customHeight="1">
      <c r="A467" s="3"/>
      <c r="B467" s="3"/>
      <c r="C467" s="3"/>
      <c r="D467" s="3"/>
      <c r="E467" s="3"/>
      <c r="F467" s="3"/>
    </row>
    <row r="468" spans="1:6" ht="15.75" customHeight="1">
      <c r="A468" s="3"/>
      <c r="B468" s="3"/>
      <c r="C468" s="3"/>
      <c r="D468" s="3"/>
      <c r="E468" s="3"/>
      <c r="F468" s="3"/>
    </row>
    <row r="469" spans="1:6" ht="15.75" customHeight="1">
      <c r="A469" s="3"/>
      <c r="B469" s="3"/>
      <c r="C469" s="3"/>
      <c r="D469" s="3"/>
      <c r="E469" s="3"/>
      <c r="F469" s="3"/>
    </row>
    <row r="470" spans="1:6" ht="15.75" customHeight="1">
      <c r="A470" s="3"/>
      <c r="B470" s="3"/>
      <c r="C470" s="3"/>
      <c r="D470" s="3"/>
      <c r="E470" s="3"/>
      <c r="F470" s="3"/>
    </row>
    <row r="471" spans="1:6" ht="15.75" customHeight="1">
      <c r="A471" s="3"/>
      <c r="B471" s="3"/>
      <c r="C471" s="3"/>
      <c r="D471" s="3"/>
      <c r="E471" s="3"/>
      <c r="F471" s="3"/>
    </row>
    <row r="472" spans="1:6" ht="15.75" customHeight="1">
      <c r="A472" s="3"/>
      <c r="B472" s="3"/>
      <c r="C472" s="3"/>
      <c r="D472" s="3"/>
      <c r="E472" s="3"/>
      <c r="F472" s="3"/>
    </row>
    <row r="473" spans="1:6" ht="15.75" customHeight="1">
      <c r="A473" s="3"/>
      <c r="B473" s="3"/>
      <c r="C473" s="3"/>
      <c r="D473" s="3"/>
      <c r="E473" s="3"/>
      <c r="F473" s="3"/>
    </row>
    <row r="474" spans="1:6" ht="15.75" customHeight="1">
      <c r="A474" s="3"/>
      <c r="B474" s="3"/>
      <c r="C474" s="3"/>
      <c r="D474" s="3"/>
      <c r="E474" s="3"/>
      <c r="F474" s="3"/>
    </row>
    <row r="475" spans="1:6" ht="15.75" customHeight="1">
      <c r="A475" s="3"/>
      <c r="B475" s="3"/>
      <c r="C475" s="3"/>
      <c r="D475" s="3"/>
      <c r="E475" s="3"/>
      <c r="F475" s="3"/>
    </row>
    <row r="476" spans="1:6" ht="15.75" customHeight="1">
      <c r="A476" s="3"/>
      <c r="B476" s="3"/>
      <c r="C476" s="3"/>
      <c r="D476" s="3"/>
      <c r="E476" s="3"/>
      <c r="F476" s="3"/>
    </row>
    <row r="477" spans="1:6" ht="15.75" customHeight="1">
      <c r="A477" s="3"/>
      <c r="B477" s="3"/>
      <c r="C477" s="3"/>
      <c r="D477" s="3"/>
      <c r="E477" s="3"/>
      <c r="F477" s="3"/>
    </row>
    <row r="478" spans="1:6" ht="15.75" customHeight="1">
      <c r="A478" s="3"/>
      <c r="B478" s="3"/>
      <c r="C478" s="3"/>
      <c r="D478" s="3"/>
      <c r="E478" s="3"/>
      <c r="F478" s="3"/>
    </row>
    <row r="479" spans="1:6" ht="15.75" customHeight="1">
      <c r="A479" s="3"/>
      <c r="B479" s="3"/>
      <c r="C479" s="3"/>
      <c r="D479" s="3"/>
      <c r="E479" s="3"/>
      <c r="F479" s="3"/>
    </row>
    <row r="480" spans="1:6" ht="15.75" customHeight="1">
      <c r="A480" s="3"/>
      <c r="B480" s="3"/>
      <c r="C480" s="3"/>
      <c r="D480" s="3"/>
      <c r="E480" s="3"/>
      <c r="F480" s="3"/>
    </row>
    <row r="481" spans="1:6" ht="15.75" customHeight="1">
      <c r="A481" s="3"/>
      <c r="B481" s="3"/>
      <c r="C481" s="3"/>
      <c r="D481" s="3"/>
      <c r="E481" s="3"/>
      <c r="F481" s="3"/>
    </row>
    <row r="482" spans="1:6" ht="15.75" customHeight="1">
      <c r="A482" s="3"/>
      <c r="B482" s="3"/>
      <c r="C482" s="3"/>
      <c r="D482" s="3"/>
      <c r="E482" s="3"/>
      <c r="F482" s="3"/>
    </row>
    <row r="483" spans="1:6" ht="15.75" customHeight="1">
      <c r="A483" s="3"/>
      <c r="B483" s="3"/>
      <c r="C483" s="3"/>
      <c r="D483" s="3"/>
      <c r="E483" s="3"/>
      <c r="F483" s="3"/>
    </row>
    <row r="484" spans="1:6" ht="15.75" customHeight="1">
      <c r="A484" s="3"/>
      <c r="B484" s="3"/>
      <c r="C484" s="3"/>
      <c r="D484" s="3"/>
      <c r="E484" s="3"/>
      <c r="F484" s="3"/>
    </row>
    <row r="485" spans="1:6" ht="15.75" customHeight="1">
      <c r="A485" s="3"/>
      <c r="B485" s="3"/>
      <c r="C485" s="3"/>
      <c r="D485" s="3"/>
      <c r="E485" s="3"/>
      <c r="F485" s="3"/>
    </row>
    <row r="486" spans="1:6" ht="15.75" customHeight="1">
      <c r="A486" s="3"/>
      <c r="B486" s="3"/>
      <c r="C486" s="3"/>
      <c r="D486" s="3"/>
      <c r="E486" s="3"/>
      <c r="F486" s="3"/>
    </row>
    <row r="487" spans="1:6" ht="15.75" customHeight="1">
      <c r="A487" s="3"/>
      <c r="B487" s="3"/>
      <c r="C487" s="3"/>
      <c r="D487" s="3"/>
      <c r="E487" s="3"/>
      <c r="F487" s="3"/>
    </row>
    <row r="488" spans="1:6" ht="15.75" customHeight="1">
      <c r="A488" s="3"/>
      <c r="B488" s="3"/>
      <c r="C488" s="3"/>
      <c r="D488" s="3"/>
      <c r="E488" s="3"/>
      <c r="F488" s="3"/>
    </row>
    <row r="489" spans="1:6" ht="15.75" customHeight="1">
      <c r="A489" s="3"/>
      <c r="B489" s="3"/>
      <c r="C489" s="3"/>
      <c r="D489" s="3"/>
      <c r="E489" s="3"/>
      <c r="F489" s="3"/>
    </row>
    <row r="490" spans="1:6" ht="15.75" customHeight="1">
      <c r="A490" s="3"/>
      <c r="B490" s="3"/>
      <c r="C490" s="3"/>
      <c r="D490" s="3"/>
      <c r="E490" s="3"/>
      <c r="F490" s="3"/>
    </row>
    <row r="491" spans="1:6" ht="15.75" customHeight="1">
      <c r="A491" s="3"/>
      <c r="B491" s="3"/>
      <c r="C491" s="3"/>
      <c r="D491" s="3"/>
      <c r="E491" s="3"/>
      <c r="F491" s="3"/>
    </row>
    <row r="492" spans="1:6" ht="15.75" customHeight="1">
      <c r="A492" s="3"/>
      <c r="B492" s="3"/>
      <c r="C492" s="3"/>
      <c r="D492" s="3"/>
      <c r="E492" s="3"/>
      <c r="F492" s="3"/>
    </row>
    <row r="493" spans="1:6" ht="15.75" customHeight="1">
      <c r="A493" s="3"/>
      <c r="B493" s="3"/>
      <c r="C493" s="3"/>
      <c r="D493" s="3"/>
      <c r="E493" s="3"/>
      <c r="F493" s="3"/>
    </row>
    <row r="494" spans="1:6" ht="15.75" customHeight="1">
      <c r="A494" s="3"/>
      <c r="B494" s="3"/>
      <c r="C494" s="3"/>
      <c r="D494" s="3"/>
      <c r="E494" s="3"/>
      <c r="F494" s="3"/>
    </row>
    <row r="495" spans="1:6" ht="15.75" customHeight="1">
      <c r="A495" s="3"/>
      <c r="B495" s="3"/>
      <c r="C495" s="3"/>
      <c r="D495" s="3"/>
      <c r="E495" s="3"/>
      <c r="F495" s="3"/>
    </row>
    <row r="496" spans="1:6" ht="15.75" customHeight="1">
      <c r="A496" s="3"/>
      <c r="B496" s="3"/>
      <c r="C496" s="3"/>
      <c r="D496" s="3"/>
      <c r="E496" s="3"/>
      <c r="F496" s="3"/>
    </row>
    <row r="497" spans="1:6" ht="15.75" customHeight="1">
      <c r="A497" s="3"/>
      <c r="B497" s="3"/>
      <c r="C497" s="3"/>
      <c r="D497" s="3"/>
      <c r="E497" s="3"/>
      <c r="F497" s="3"/>
    </row>
    <row r="498" spans="1:6" ht="15.75" customHeight="1">
      <c r="A498" s="3"/>
      <c r="B498" s="3"/>
      <c r="C498" s="3"/>
      <c r="D498" s="3"/>
      <c r="E498" s="3"/>
      <c r="F498" s="3"/>
    </row>
    <row r="499" spans="1:6" ht="15.75" customHeight="1">
      <c r="A499" s="3"/>
      <c r="B499" s="3"/>
      <c r="C499" s="3"/>
      <c r="D499" s="3"/>
      <c r="E499" s="3"/>
      <c r="F499" s="3"/>
    </row>
    <row r="500" spans="1:6" ht="15.75" customHeight="1">
      <c r="A500" s="3"/>
      <c r="B500" s="3"/>
      <c r="C500" s="3"/>
      <c r="D500" s="3"/>
      <c r="E500" s="3"/>
      <c r="F500" s="3"/>
    </row>
    <row r="501" spans="1:6" ht="15.75" customHeight="1">
      <c r="A501" s="3"/>
      <c r="B501" s="3"/>
      <c r="C501" s="3"/>
      <c r="D501" s="3"/>
      <c r="E501" s="3"/>
      <c r="F501" s="3"/>
    </row>
    <row r="502" spans="1:6" ht="15.75" customHeight="1">
      <c r="A502" s="3"/>
      <c r="B502" s="3"/>
      <c r="C502" s="3"/>
      <c r="D502" s="3"/>
      <c r="E502" s="3"/>
      <c r="F502" s="3"/>
    </row>
    <row r="503" spans="1:6" ht="15.75" customHeight="1">
      <c r="A503" s="3"/>
      <c r="B503" s="3"/>
      <c r="C503" s="3"/>
      <c r="D503" s="3"/>
      <c r="E503" s="3"/>
      <c r="F503" s="3"/>
    </row>
    <row r="504" spans="1:6" ht="15.75" customHeight="1">
      <c r="A504" s="3"/>
      <c r="B504" s="3"/>
      <c r="C504" s="3"/>
      <c r="D504" s="3"/>
      <c r="E504" s="3"/>
      <c r="F504" s="3"/>
    </row>
    <row r="505" spans="1:6" ht="15.75" customHeight="1">
      <c r="A505" s="3"/>
      <c r="B505" s="3"/>
      <c r="C505" s="3"/>
      <c r="D505" s="3"/>
      <c r="E505" s="3"/>
      <c r="F505" s="3"/>
    </row>
    <row r="506" spans="1:6" ht="15.75" customHeight="1">
      <c r="A506" s="3"/>
      <c r="B506" s="3"/>
      <c r="C506" s="3"/>
      <c r="D506" s="3"/>
      <c r="E506" s="3"/>
      <c r="F506" s="3"/>
    </row>
    <row r="507" spans="1:6" ht="15.75" customHeight="1">
      <c r="A507" s="3"/>
      <c r="B507" s="3"/>
      <c r="C507" s="3"/>
      <c r="D507" s="3"/>
      <c r="E507" s="3"/>
      <c r="F507" s="3"/>
    </row>
    <row r="508" spans="1:6" ht="15.75" customHeight="1">
      <c r="A508" s="3"/>
      <c r="B508" s="3"/>
      <c r="C508" s="3"/>
      <c r="D508" s="3"/>
      <c r="E508" s="3"/>
      <c r="F508" s="3"/>
    </row>
    <row r="509" spans="1:6" ht="15.75" customHeight="1">
      <c r="A509" s="3"/>
      <c r="B509" s="3"/>
      <c r="C509" s="3"/>
      <c r="D509" s="3"/>
      <c r="E509" s="3"/>
      <c r="F509" s="3"/>
    </row>
    <row r="510" spans="1:6" ht="15.75" customHeight="1">
      <c r="A510" s="3"/>
      <c r="B510" s="3"/>
      <c r="C510" s="3"/>
      <c r="D510" s="3"/>
      <c r="E510" s="3"/>
      <c r="F510" s="3"/>
    </row>
    <row r="511" spans="1:6" ht="15.75" customHeight="1">
      <c r="A511" s="3"/>
      <c r="B511" s="3"/>
      <c r="C511" s="3"/>
      <c r="D511" s="3"/>
      <c r="E511" s="3"/>
      <c r="F511" s="3"/>
    </row>
    <row r="512" spans="1:6" ht="15.75" customHeight="1">
      <c r="A512" s="3"/>
      <c r="B512" s="3"/>
      <c r="C512" s="3"/>
      <c r="D512" s="3"/>
      <c r="E512" s="3"/>
      <c r="F512" s="3"/>
    </row>
    <row r="513" spans="1:6" ht="15.75" customHeight="1">
      <c r="A513" s="3"/>
      <c r="B513" s="3"/>
      <c r="C513" s="3"/>
      <c r="D513" s="3"/>
      <c r="E513" s="3"/>
      <c r="F513" s="3"/>
    </row>
    <row r="514" spans="1:6" ht="15.75" customHeight="1">
      <c r="A514" s="3"/>
      <c r="B514" s="3"/>
      <c r="C514" s="3"/>
      <c r="D514" s="3"/>
      <c r="E514" s="3"/>
      <c r="F514" s="3"/>
    </row>
    <row r="515" spans="1:6" ht="15.75" customHeight="1">
      <c r="A515" s="3"/>
      <c r="B515" s="3"/>
      <c r="C515" s="3"/>
      <c r="D515" s="3"/>
      <c r="E515" s="3"/>
      <c r="F515" s="3"/>
    </row>
    <row r="516" spans="1:6" ht="15.75" customHeight="1">
      <c r="A516" s="3"/>
      <c r="B516" s="3"/>
      <c r="C516" s="3"/>
      <c r="D516" s="3"/>
      <c r="E516" s="3"/>
      <c r="F516" s="3"/>
    </row>
    <row r="517" spans="1:6" ht="15.75" customHeight="1">
      <c r="A517" s="3"/>
      <c r="B517" s="3"/>
      <c r="C517" s="3"/>
      <c r="D517" s="3"/>
      <c r="E517" s="3"/>
      <c r="F517" s="3"/>
    </row>
    <row r="518" spans="1:6" ht="15.75" customHeight="1">
      <c r="A518" s="3"/>
      <c r="B518" s="3"/>
      <c r="C518" s="3"/>
      <c r="D518" s="3"/>
      <c r="E518" s="3"/>
      <c r="F518" s="3"/>
    </row>
    <row r="519" spans="1:6" ht="15.75" customHeight="1">
      <c r="A519" s="3"/>
      <c r="B519" s="3"/>
      <c r="C519" s="3"/>
      <c r="D519" s="3"/>
      <c r="E519" s="3"/>
      <c r="F519" s="3"/>
    </row>
    <row r="520" spans="1:6" ht="15.75" customHeight="1">
      <c r="A520" s="3"/>
      <c r="B520" s="3"/>
      <c r="C520" s="3"/>
      <c r="D520" s="3"/>
      <c r="E520" s="3"/>
      <c r="F520" s="3"/>
    </row>
    <row r="521" spans="1:6" ht="15.75" customHeight="1">
      <c r="A521" s="3"/>
      <c r="B521" s="3"/>
      <c r="C521" s="3"/>
      <c r="D521" s="3"/>
      <c r="E521" s="3"/>
      <c r="F521" s="3"/>
    </row>
    <row r="522" spans="1:6" ht="15.75" customHeight="1">
      <c r="A522" s="3"/>
      <c r="B522" s="3"/>
      <c r="C522" s="3"/>
      <c r="D522" s="3"/>
      <c r="E522" s="3"/>
      <c r="F522" s="3"/>
    </row>
    <row r="523" spans="1:6" ht="15.75" customHeight="1">
      <c r="A523" s="3"/>
      <c r="B523" s="3"/>
      <c r="C523" s="3"/>
      <c r="D523" s="3"/>
      <c r="E523" s="3"/>
      <c r="F523" s="3"/>
    </row>
    <row r="524" spans="1:6" ht="15.75" customHeight="1">
      <c r="A524" s="3"/>
      <c r="B524" s="3"/>
      <c r="C524" s="3"/>
      <c r="D524" s="3"/>
      <c r="E524" s="3"/>
      <c r="F524" s="3"/>
    </row>
    <row r="525" spans="1:6" ht="15.75" customHeight="1">
      <c r="A525" s="3"/>
      <c r="B525" s="3"/>
      <c r="C525" s="3"/>
      <c r="D525" s="3"/>
      <c r="E525" s="3"/>
      <c r="F525" s="3"/>
    </row>
    <row r="526" spans="1:6" ht="15.75" customHeight="1">
      <c r="A526" s="3"/>
      <c r="B526" s="3"/>
      <c r="C526" s="3"/>
      <c r="D526" s="3"/>
      <c r="E526" s="3"/>
      <c r="F526" s="3"/>
    </row>
    <row r="527" spans="1:6" ht="15.75" customHeight="1">
      <c r="A527" s="3"/>
      <c r="B527" s="3"/>
      <c r="C527" s="3"/>
      <c r="D527" s="3"/>
      <c r="E527" s="3"/>
      <c r="F527" s="3"/>
    </row>
    <row r="528" spans="1:6" ht="15.75" customHeight="1">
      <c r="A528" s="3"/>
      <c r="B528" s="3"/>
      <c r="C528" s="3"/>
      <c r="D528" s="3"/>
      <c r="E528" s="3"/>
      <c r="F528" s="3"/>
    </row>
    <row r="529" spans="1:6" ht="15.75" customHeight="1">
      <c r="A529" s="3"/>
      <c r="B529" s="3"/>
      <c r="C529" s="3"/>
      <c r="D529" s="3"/>
      <c r="E529" s="3"/>
      <c r="F529" s="3"/>
    </row>
    <row r="530" spans="1:6" ht="15.75" customHeight="1">
      <c r="A530" s="3"/>
      <c r="B530" s="3"/>
      <c r="C530" s="3"/>
      <c r="D530" s="3"/>
      <c r="E530" s="3"/>
      <c r="F530" s="3"/>
    </row>
    <row r="531" spans="1:6" ht="15.75" customHeight="1">
      <c r="A531" s="3"/>
      <c r="B531" s="3"/>
      <c r="C531" s="3"/>
      <c r="D531" s="3"/>
      <c r="E531" s="3"/>
      <c r="F531" s="3"/>
    </row>
    <row r="532" spans="1:6" ht="15.75" customHeight="1">
      <c r="A532" s="3"/>
      <c r="B532" s="3"/>
      <c r="C532" s="3"/>
      <c r="D532" s="3"/>
      <c r="E532" s="3"/>
      <c r="F532" s="3"/>
    </row>
    <row r="533" spans="1:6" ht="15.75" customHeight="1">
      <c r="A533" s="3"/>
      <c r="B533" s="3"/>
      <c r="C533" s="3"/>
      <c r="D533" s="3"/>
      <c r="E533" s="3"/>
      <c r="F533" s="3"/>
    </row>
    <row r="534" spans="1:6" ht="15.75" customHeight="1">
      <c r="A534" s="3"/>
      <c r="B534" s="3"/>
      <c r="C534" s="3"/>
      <c r="D534" s="3"/>
      <c r="E534" s="3"/>
      <c r="F534" s="3"/>
    </row>
    <row r="535" spans="1:6" ht="15.75" customHeight="1">
      <c r="A535" s="3"/>
      <c r="B535" s="3"/>
      <c r="C535" s="3"/>
      <c r="D535" s="3"/>
      <c r="E535" s="3"/>
      <c r="F535" s="3"/>
    </row>
    <row r="536" spans="1:6" ht="15.75" customHeight="1">
      <c r="A536" s="3"/>
      <c r="B536" s="3"/>
      <c r="C536" s="3"/>
      <c r="D536" s="3"/>
      <c r="E536" s="3"/>
      <c r="F536" s="3"/>
    </row>
    <row r="537" spans="1:6" ht="15.75" customHeight="1">
      <c r="A537" s="3"/>
      <c r="B537" s="3"/>
      <c r="C537" s="3"/>
      <c r="D537" s="3"/>
      <c r="E537" s="3"/>
      <c r="F537" s="3"/>
    </row>
    <row r="538" spans="1:6" ht="15.75" customHeight="1">
      <c r="A538" s="3"/>
      <c r="B538" s="3"/>
      <c r="C538" s="3"/>
      <c r="D538" s="3"/>
      <c r="E538" s="3"/>
      <c r="F538" s="3"/>
    </row>
    <row r="539" spans="1:6" ht="15.75" customHeight="1">
      <c r="A539" s="3"/>
      <c r="B539" s="3"/>
      <c r="C539" s="3"/>
      <c r="D539" s="3"/>
      <c r="E539" s="3"/>
      <c r="F539" s="3"/>
    </row>
    <row r="540" spans="1:6" ht="15.75" customHeight="1">
      <c r="A540" s="3"/>
      <c r="B540" s="3"/>
      <c r="C540" s="3"/>
      <c r="D540" s="3"/>
      <c r="E540" s="3"/>
      <c r="F540" s="3"/>
    </row>
    <row r="541" spans="1:6" ht="15.75" customHeight="1">
      <c r="A541" s="3"/>
      <c r="B541" s="3"/>
      <c r="C541" s="3"/>
      <c r="D541" s="3"/>
      <c r="E541" s="3"/>
      <c r="F541" s="3"/>
    </row>
    <row r="542" spans="1:6" ht="15.75" customHeight="1">
      <c r="A542" s="3"/>
      <c r="B542" s="3"/>
      <c r="C542" s="3"/>
      <c r="D542" s="3"/>
      <c r="E542" s="3"/>
      <c r="F542" s="3"/>
    </row>
    <row r="543" spans="1:6" ht="15.75" customHeight="1">
      <c r="A543" s="3"/>
      <c r="B543" s="3"/>
      <c r="C543" s="3"/>
      <c r="D543" s="3"/>
      <c r="E543" s="3"/>
      <c r="F543" s="3"/>
    </row>
    <row r="544" spans="1:6" ht="15.75" customHeight="1">
      <c r="A544" s="3"/>
      <c r="B544" s="3"/>
      <c r="C544" s="3"/>
      <c r="D544" s="3"/>
      <c r="E544" s="3"/>
      <c r="F544" s="3"/>
    </row>
    <row r="545" spans="1:6" ht="15.75" customHeight="1">
      <c r="A545" s="3"/>
      <c r="B545" s="3"/>
      <c r="C545" s="3"/>
      <c r="D545" s="3"/>
      <c r="E545" s="3"/>
      <c r="F545" s="3"/>
    </row>
    <row r="546" spans="1:6" ht="15.75" customHeight="1">
      <c r="A546" s="3"/>
      <c r="B546" s="3"/>
      <c r="C546" s="3"/>
      <c r="D546" s="3"/>
      <c r="E546" s="3"/>
      <c r="F546" s="3"/>
    </row>
    <row r="547" spans="1:6" ht="15.75" customHeight="1">
      <c r="A547" s="3"/>
      <c r="B547" s="3"/>
      <c r="C547" s="3"/>
      <c r="D547" s="3"/>
      <c r="E547" s="3"/>
      <c r="F547" s="3"/>
    </row>
    <row r="548" spans="1:6" ht="15.75" customHeight="1">
      <c r="A548" s="3"/>
      <c r="B548" s="3"/>
      <c r="C548" s="3"/>
      <c r="D548" s="3"/>
      <c r="E548" s="3"/>
      <c r="F548" s="3"/>
    </row>
    <row r="549" spans="1:6" ht="15.75" customHeight="1">
      <c r="A549" s="3"/>
      <c r="B549" s="3"/>
      <c r="C549" s="3"/>
      <c r="D549" s="3"/>
      <c r="E549" s="3"/>
      <c r="F549" s="3"/>
    </row>
    <row r="550" spans="1:6" ht="15.75" customHeight="1">
      <c r="A550" s="3"/>
      <c r="B550" s="3"/>
      <c r="C550" s="3"/>
      <c r="D550" s="3"/>
      <c r="E550" s="3"/>
      <c r="F550" s="3"/>
    </row>
    <row r="551" spans="1:6" ht="15.75" customHeight="1">
      <c r="A551" s="3"/>
      <c r="B551" s="3"/>
      <c r="C551" s="3"/>
      <c r="D551" s="3"/>
      <c r="E551" s="3"/>
      <c r="F551" s="3"/>
    </row>
    <row r="552" spans="1:6" ht="15.75" customHeight="1">
      <c r="A552" s="3"/>
      <c r="B552" s="3"/>
      <c r="C552" s="3"/>
      <c r="D552" s="3"/>
      <c r="E552" s="3"/>
      <c r="F552" s="3"/>
    </row>
    <row r="553" spans="1:6" ht="15.75" customHeight="1">
      <c r="A553" s="3"/>
      <c r="B553" s="3"/>
      <c r="C553" s="3"/>
      <c r="D553" s="3"/>
      <c r="E553" s="3"/>
      <c r="F553" s="3"/>
    </row>
    <row r="554" spans="1:6" ht="15.75" customHeight="1">
      <c r="A554" s="3"/>
      <c r="B554" s="3"/>
      <c r="C554" s="3"/>
      <c r="D554" s="3"/>
      <c r="E554" s="3"/>
      <c r="F554" s="3"/>
    </row>
    <row r="555" spans="1:6" ht="15.75" customHeight="1">
      <c r="A555" s="3"/>
      <c r="B555" s="3"/>
      <c r="C555" s="3"/>
      <c r="D555" s="3"/>
      <c r="E555" s="3"/>
      <c r="F555" s="3"/>
    </row>
    <row r="556" spans="1:6" ht="15.75" customHeight="1">
      <c r="A556" s="3"/>
      <c r="B556" s="3"/>
      <c r="C556" s="3"/>
      <c r="D556" s="3"/>
      <c r="E556" s="3"/>
      <c r="F556" s="3"/>
    </row>
    <row r="557" spans="1:6" ht="15.75" customHeight="1">
      <c r="A557" s="3"/>
      <c r="B557" s="3"/>
      <c r="C557" s="3"/>
      <c r="D557" s="3"/>
      <c r="E557" s="3"/>
      <c r="F557" s="3"/>
    </row>
    <row r="558" spans="1:6" ht="15.75" customHeight="1">
      <c r="A558" s="3"/>
      <c r="B558" s="3"/>
      <c r="C558" s="3"/>
      <c r="D558" s="3"/>
      <c r="E558" s="3"/>
      <c r="F558" s="3"/>
    </row>
    <row r="559" spans="1:6" ht="15.75" customHeight="1">
      <c r="A559" s="3"/>
      <c r="B559" s="3"/>
      <c r="C559" s="3"/>
      <c r="D559" s="3"/>
      <c r="E559" s="3"/>
      <c r="F559" s="3"/>
    </row>
    <row r="560" spans="1:6" ht="15.75" customHeight="1">
      <c r="A560" s="3"/>
      <c r="B560" s="3"/>
      <c r="C560" s="3"/>
      <c r="D560" s="3"/>
      <c r="E560" s="3"/>
      <c r="F560" s="3"/>
    </row>
    <row r="561" spans="1:6" ht="15.75" customHeight="1">
      <c r="A561" s="3"/>
      <c r="B561" s="3"/>
      <c r="C561" s="3"/>
      <c r="D561" s="3"/>
      <c r="E561" s="3"/>
      <c r="F561" s="3"/>
    </row>
    <row r="562" spans="1:6" ht="15.75" customHeight="1">
      <c r="A562" s="3"/>
      <c r="B562" s="3"/>
      <c r="C562" s="3"/>
      <c r="D562" s="3"/>
      <c r="E562" s="3"/>
      <c r="F562" s="3"/>
    </row>
    <row r="563" spans="1:6" ht="15.75" customHeight="1">
      <c r="A563" s="3"/>
      <c r="B563" s="3"/>
      <c r="C563" s="3"/>
      <c r="D563" s="3"/>
      <c r="E563" s="3"/>
      <c r="F563" s="3"/>
    </row>
    <row r="564" spans="1:6" ht="15.75" customHeight="1">
      <c r="A564" s="3"/>
      <c r="B564" s="3"/>
      <c r="C564" s="3"/>
      <c r="D564" s="3"/>
      <c r="E564" s="3"/>
      <c r="F564" s="3"/>
    </row>
    <row r="565" spans="1:6" ht="15.75" customHeight="1">
      <c r="A565" s="3"/>
      <c r="B565" s="3"/>
      <c r="C565" s="3"/>
      <c r="D565" s="3"/>
      <c r="E565" s="3"/>
      <c r="F565" s="3"/>
    </row>
    <row r="566" spans="1:6" ht="15.75" customHeight="1">
      <c r="A566" s="3"/>
      <c r="B566" s="3"/>
      <c r="C566" s="3"/>
      <c r="D566" s="3"/>
      <c r="E566" s="3"/>
      <c r="F566" s="3"/>
    </row>
    <row r="567" spans="1:6" ht="15.75" customHeight="1">
      <c r="A567" s="3"/>
      <c r="B567" s="3"/>
      <c r="C567" s="3"/>
      <c r="D567" s="3"/>
      <c r="E567" s="3"/>
      <c r="F567" s="3"/>
    </row>
    <row r="568" spans="1:6" ht="15.75" customHeight="1">
      <c r="A568" s="3"/>
      <c r="B568" s="3"/>
      <c r="C568" s="3"/>
      <c r="D568" s="3"/>
      <c r="E568" s="3"/>
      <c r="F568" s="3"/>
    </row>
    <row r="569" spans="1:6" ht="15.75" customHeight="1">
      <c r="A569" s="3"/>
      <c r="B569" s="3"/>
      <c r="C569" s="3"/>
      <c r="D569" s="3"/>
      <c r="E569" s="3"/>
      <c r="F569" s="3"/>
    </row>
    <row r="570" spans="1:6" ht="15.75" customHeight="1">
      <c r="A570" s="3"/>
      <c r="B570" s="3"/>
      <c r="C570" s="3"/>
      <c r="D570" s="3"/>
      <c r="E570" s="3"/>
      <c r="F570" s="3"/>
    </row>
    <row r="571" spans="1:6" ht="15.75" customHeight="1">
      <c r="A571" s="3"/>
      <c r="B571" s="3"/>
      <c r="C571" s="3"/>
      <c r="D571" s="3"/>
      <c r="E571" s="3"/>
      <c r="F571" s="3"/>
    </row>
    <row r="572" spans="1:6" ht="15.75" customHeight="1">
      <c r="A572" s="3"/>
      <c r="B572" s="3"/>
      <c r="C572" s="3"/>
      <c r="D572" s="3"/>
      <c r="E572" s="3"/>
      <c r="F572" s="3"/>
    </row>
    <row r="573" spans="1:6" ht="15.75" customHeight="1">
      <c r="A573" s="3"/>
      <c r="B573" s="3"/>
      <c r="C573" s="3"/>
      <c r="D573" s="3"/>
      <c r="E573" s="3"/>
      <c r="F573" s="3"/>
    </row>
    <row r="574" spans="1:6" ht="15.75" customHeight="1">
      <c r="A574" s="3"/>
      <c r="B574" s="3"/>
      <c r="C574" s="3"/>
      <c r="D574" s="3"/>
      <c r="E574" s="3"/>
      <c r="F574" s="3"/>
    </row>
    <row r="575" spans="1:6" ht="15.75" customHeight="1">
      <c r="A575" s="3"/>
      <c r="B575" s="3"/>
      <c r="C575" s="3"/>
      <c r="D575" s="3"/>
      <c r="E575" s="3"/>
      <c r="F575" s="3"/>
    </row>
    <row r="576" spans="1:6" ht="15.75" customHeight="1">
      <c r="A576" s="3"/>
      <c r="B576" s="3"/>
      <c r="C576" s="3"/>
      <c r="D576" s="3"/>
      <c r="E576" s="3"/>
      <c r="F576" s="3"/>
    </row>
    <row r="577" spans="1:6" ht="15.75" customHeight="1">
      <c r="A577" s="3"/>
      <c r="B577" s="3"/>
      <c r="C577" s="3"/>
      <c r="D577" s="3"/>
      <c r="E577" s="3"/>
      <c r="F577" s="3"/>
    </row>
    <row r="578" spans="1:6" ht="15.75" customHeight="1">
      <c r="A578" s="3"/>
      <c r="B578" s="3"/>
      <c r="C578" s="3"/>
      <c r="D578" s="3"/>
      <c r="E578" s="3"/>
      <c r="F578" s="3"/>
    </row>
    <row r="579" spans="1:6" ht="15.75" customHeight="1">
      <c r="A579" s="3"/>
      <c r="B579" s="3"/>
      <c r="C579" s="3"/>
      <c r="D579" s="3"/>
      <c r="E579" s="3"/>
      <c r="F579" s="3"/>
    </row>
    <row r="580" spans="1:6" ht="15.75" customHeight="1">
      <c r="A580" s="3"/>
      <c r="B580" s="3"/>
      <c r="C580" s="3"/>
      <c r="D580" s="3"/>
      <c r="E580" s="3"/>
      <c r="F580" s="3"/>
    </row>
    <row r="581" spans="1:6" ht="15.75" customHeight="1">
      <c r="A581" s="3"/>
      <c r="B581" s="3"/>
      <c r="C581" s="3"/>
      <c r="D581" s="3"/>
      <c r="E581" s="3"/>
      <c r="F581" s="3"/>
    </row>
    <row r="582" spans="1:6" ht="15.75" customHeight="1">
      <c r="A582" s="3"/>
      <c r="B582" s="3"/>
      <c r="C582" s="3"/>
      <c r="D582" s="3"/>
      <c r="E582" s="3"/>
      <c r="F582" s="3"/>
    </row>
    <row r="583" spans="1:6" ht="15.75" customHeight="1">
      <c r="A583" s="3"/>
      <c r="B583" s="3"/>
      <c r="C583" s="3"/>
      <c r="D583" s="3"/>
      <c r="E583" s="3"/>
      <c r="F583" s="3"/>
    </row>
    <row r="584" spans="1:6" ht="15.75" customHeight="1">
      <c r="A584" s="3"/>
      <c r="B584" s="3"/>
      <c r="C584" s="3"/>
      <c r="D584" s="3"/>
      <c r="E584" s="3"/>
      <c r="F584" s="3"/>
    </row>
    <row r="585" spans="1:6" ht="15.75" customHeight="1">
      <c r="A585" s="3"/>
      <c r="B585" s="3"/>
      <c r="C585" s="3"/>
      <c r="D585" s="3"/>
      <c r="E585" s="3"/>
      <c r="F585" s="3"/>
    </row>
    <row r="586" spans="1:6" ht="15.75" customHeight="1">
      <c r="A586" s="3"/>
      <c r="B586" s="3"/>
      <c r="C586" s="3"/>
      <c r="D586" s="3"/>
      <c r="E586" s="3"/>
      <c r="F586" s="3"/>
    </row>
    <row r="587" spans="1:6" ht="15.75" customHeight="1">
      <c r="A587" s="3"/>
      <c r="B587" s="3"/>
      <c r="C587" s="3"/>
      <c r="D587" s="3"/>
      <c r="E587" s="3"/>
      <c r="F587" s="3"/>
    </row>
    <row r="588" spans="1:6" ht="15.75" customHeight="1">
      <c r="A588" s="3"/>
      <c r="B588" s="3"/>
      <c r="C588" s="3"/>
      <c r="D588" s="3"/>
      <c r="E588" s="3"/>
      <c r="F588" s="3"/>
    </row>
    <row r="589" spans="1:6" ht="15.75" customHeight="1">
      <c r="A589" s="3"/>
      <c r="B589" s="3"/>
      <c r="C589" s="3"/>
      <c r="D589" s="3"/>
      <c r="E589" s="3"/>
      <c r="F589" s="3"/>
    </row>
    <row r="590" spans="1:6" ht="15.75" customHeight="1">
      <c r="A590" s="3"/>
      <c r="B590" s="3"/>
      <c r="C590" s="3"/>
      <c r="D590" s="3"/>
      <c r="E590" s="3"/>
      <c r="F590" s="3"/>
    </row>
    <row r="591" spans="1:6" ht="15.75" customHeight="1">
      <c r="A591" s="3"/>
      <c r="B591" s="3"/>
      <c r="C591" s="3"/>
      <c r="D591" s="3"/>
      <c r="E591" s="3"/>
      <c r="F591" s="3"/>
    </row>
    <row r="592" spans="1:6" ht="15.75" customHeight="1">
      <c r="A592" s="3"/>
      <c r="B592" s="3"/>
      <c r="C592" s="3"/>
      <c r="D592" s="3"/>
      <c r="E592" s="3"/>
      <c r="F592" s="3"/>
    </row>
    <row r="593" spans="1:6" ht="15.75" customHeight="1">
      <c r="A593" s="3"/>
      <c r="B593" s="3"/>
      <c r="C593" s="3"/>
      <c r="D593" s="3"/>
      <c r="E593" s="3"/>
      <c r="F593" s="3"/>
    </row>
    <row r="594" spans="1:6" ht="15.75" customHeight="1">
      <c r="A594" s="3"/>
      <c r="B594" s="3"/>
      <c r="C594" s="3"/>
      <c r="D594" s="3"/>
      <c r="E594" s="3"/>
      <c r="F594" s="3"/>
    </row>
    <row r="595" spans="1:6" ht="15.75" customHeight="1">
      <c r="A595" s="3"/>
      <c r="B595" s="3"/>
      <c r="C595" s="3"/>
      <c r="D595" s="3"/>
      <c r="E595" s="3"/>
      <c r="F595" s="3"/>
    </row>
    <row r="596" spans="1:6" ht="15.75" customHeight="1">
      <c r="A596" s="3"/>
      <c r="B596" s="3"/>
      <c r="C596" s="3"/>
      <c r="D596" s="3"/>
      <c r="E596" s="3"/>
      <c r="F596" s="3"/>
    </row>
    <row r="597" spans="1:6" ht="15.75" customHeight="1">
      <c r="A597" s="3"/>
      <c r="B597" s="3"/>
      <c r="C597" s="3"/>
      <c r="D597" s="3"/>
      <c r="E597" s="3"/>
      <c r="F597" s="3"/>
    </row>
    <row r="598" spans="1:6" ht="15.75" customHeight="1">
      <c r="A598" s="3"/>
      <c r="B598" s="3"/>
      <c r="C598" s="3"/>
      <c r="D598" s="3"/>
      <c r="E598" s="3"/>
      <c r="F598" s="3"/>
    </row>
    <row r="599" spans="1:6" ht="15.75" customHeight="1">
      <c r="A599" s="3"/>
      <c r="B599" s="3"/>
      <c r="C599" s="3"/>
      <c r="D599" s="3"/>
      <c r="E599" s="3"/>
      <c r="F599" s="3"/>
    </row>
    <row r="600" spans="1:6" ht="15.75" customHeight="1">
      <c r="A600" s="3"/>
      <c r="B600" s="3"/>
      <c r="C600" s="3"/>
      <c r="D600" s="3"/>
      <c r="E600" s="3"/>
      <c r="F600" s="3"/>
    </row>
    <row r="601" spans="1:6" ht="15.75" customHeight="1">
      <c r="A601" s="3"/>
      <c r="B601" s="3"/>
      <c r="C601" s="3"/>
      <c r="D601" s="3"/>
      <c r="E601" s="3"/>
      <c r="F601" s="3"/>
    </row>
    <row r="602" spans="1:6" ht="15.75" customHeight="1">
      <c r="A602" s="3"/>
      <c r="B602" s="3"/>
      <c r="C602" s="3"/>
      <c r="D602" s="3"/>
      <c r="E602" s="3"/>
      <c r="F602" s="3"/>
    </row>
    <row r="603" spans="1:6" ht="15.75" customHeight="1">
      <c r="A603" s="3"/>
      <c r="B603" s="3"/>
      <c r="C603" s="3"/>
      <c r="D603" s="3"/>
      <c r="E603" s="3"/>
      <c r="F603" s="3"/>
    </row>
    <row r="604" spans="1:6" ht="15.75" customHeight="1">
      <c r="A604" s="3"/>
      <c r="B604" s="3"/>
      <c r="C604" s="3"/>
      <c r="D604" s="3"/>
      <c r="E604" s="3"/>
      <c r="F604" s="3"/>
    </row>
    <row r="605" spans="1:6" ht="15.75" customHeight="1">
      <c r="A605" s="3"/>
      <c r="B605" s="3"/>
      <c r="C605" s="3"/>
      <c r="D605" s="3"/>
      <c r="E605" s="3"/>
      <c r="F605" s="3"/>
    </row>
    <row r="606" spans="1:6" ht="15.75" customHeight="1">
      <c r="A606" s="3"/>
      <c r="B606" s="3"/>
      <c r="C606" s="3"/>
      <c r="D606" s="3"/>
      <c r="E606" s="3"/>
      <c r="F606" s="3"/>
    </row>
    <row r="607" spans="1:6" ht="15.75" customHeight="1">
      <c r="A607" s="3"/>
      <c r="B607" s="3"/>
      <c r="C607" s="3"/>
      <c r="D607" s="3"/>
      <c r="E607" s="3"/>
      <c r="F607" s="3"/>
    </row>
    <row r="608" spans="1:6" ht="15.75" customHeight="1">
      <c r="A608" s="3"/>
      <c r="B608" s="3"/>
      <c r="C608" s="3"/>
      <c r="D608" s="3"/>
      <c r="E608" s="3"/>
      <c r="F608" s="3"/>
    </row>
    <row r="609" spans="1:6" ht="15.75" customHeight="1">
      <c r="A609" s="3"/>
      <c r="B609" s="3"/>
      <c r="C609" s="3"/>
      <c r="D609" s="3"/>
      <c r="E609" s="3"/>
      <c r="F609" s="3"/>
    </row>
    <row r="610" spans="1:6" ht="15.75" customHeight="1">
      <c r="A610" s="3"/>
      <c r="B610" s="3"/>
      <c r="C610" s="3"/>
      <c r="D610" s="3"/>
      <c r="E610" s="3"/>
      <c r="F610" s="3"/>
    </row>
    <row r="611" spans="1:6" ht="15.75" customHeight="1">
      <c r="A611" s="3"/>
      <c r="B611" s="3"/>
      <c r="C611" s="3"/>
      <c r="D611" s="3"/>
      <c r="E611" s="3"/>
      <c r="F611" s="3"/>
    </row>
    <row r="612" spans="1:6" ht="15.75" customHeight="1">
      <c r="A612" s="3"/>
      <c r="B612" s="3"/>
      <c r="C612" s="3"/>
      <c r="D612" s="3"/>
      <c r="E612" s="3"/>
      <c r="F612" s="3"/>
    </row>
    <row r="613" spans="1:6" ht="15.75" customHeight="1">
      <c r="A613" s="3"/>
      <c r="B613" s="3"/>
      <c r="C613" s="3"/>
      <c r="D613" s="3"/>
      <c r="E613" s="3"/>
      <c r="F613" s="3"/>
    </row>
    <row r="614" spans="1:6" ht="15.75" customHeight="1">
      <c r="A614" s="3"/>
      <c r="B614" s="3"/>
      <c r="C614" s="3"/>
      <c r="D614" s="3"/>
      <c r="E614" s="3"/>
      <c r="F614" s="3"/>
    </row>
    <row r="615" spans="1:6" ht="15.75" customHeight="1">
      <c r="A615" s="3"/>
      <c r="B615" s="3"/>
      <c r="C615" s="3"/>
      <c r="D615" s="3"/>
      <c r="E615" s="3"/>
      <c r="F615" s="3"/>
    </row>
    <row r="616" spans="1:6" ht="15.75" customHeight="1">
      <c r="A616" s="3"/>
      <c r="B616" s="3"/>
      <c r="C616" s="3"/>
      <c r="D616" s="3"/>
      <c r="E616" s="3"/>
      <c r="F616" s="3"/>
    </row>
    <row r="617" spans="1:6" ht="15.75" customHeight="1">
      <c r="A617" s="3"/>
      <c r="B617" s="3"/>
      <c r="C617" s="3"/>
      <c r="D617" s="3"/>
      <c r="E617" s="3"/>
      <c r="F617" s="3"/>
    </row>
    <row r="618" spans="1:6" ht="15.75" customHeight="1">
      <c r="A618" s="3"/>
      <c r="B618" s="3"/>
      <c r="C618" s="3"/>
      <c r="D618" s="3"/>
      <c r="E618" s="3"/>
      <c r="F618" s="3"/>
    </row>
    <row r="619" spans="1:6" ht="15.75" customHeight="1">
      <c r="A619" s="3"/>
      <c r="B619" s="3"/>
      <c r="C619" s="3"/>
      <c r="D619" s="3"/>
      <c r="E619" s="3"/>
      <c r="F619" s="3"/>
    </row>
    <row r="620" spans="1:6" ht="15.75" customHeight="1">
      <c r="A620" s="3"/>
      <c r="B620" s="3"/>
      <c r="C620" s="3"/>
      <c r="D620" s="3"/>
      <c r="E620" s="3"/>
      <c r="F620" s="3"/>
    </row>
    <row r="621" spans="1:6" ht="15.75" customHeight="1">
      <c r="A621" s="3"/>
      <c r="B621" s="3"/>
      <c r="C621" s="3"/>
      <c r="D621" s="3"/>
      <c r="E621" s="3"/>
      <c r="F621" s="3"/>
    </row>
    <row r="622" spans="1:6" ht="15.75" customHeight="1">
      <c r="A622" s="3"/>
      <c r="B622" s="3"/>
      <c r="C622" s="3"/>
      <c r="D622" s="3"/>
      <c r="E622" s="3"/>
      <c r="F622" s="3"/>
    </row>
    <row r="623" spans="1:6" ht="15.75" customHeight="1">
      <c r="A623" s="3"/>
      <c r="B623" s="3"/>
      <c r="C623" s="3"/>
      <c r="D623" s="3"/>
      <c r="E623" s="3"/>
      <c r="F623" s="3"/>
    </row>
    <row r="624" spans="1:6" ht="15.75" customHeight="1">
      <c r="A624" s="3"/>
      <c r="B624" s="3"/>
      <c r="C624" s="3"/>
      <c r="D624" s="3"/>
      <c r="E624" s="3"/>
      <c r="F624" s="3"/>
    </row>
    <row r="625" spans="1:6" ht="15.75" customHeight="1">
      <c r="A625" s="3"/>
      <c r="B625" s="3"/>
      <c r="C625" s="3"/>
      <c r="D625" s="3"/>
      <c r="E625" s="3"/>
      <c r="F625" s="3"/>
    </row>
    <row r="626" spans="1:6" ht="15.75" customHeight="1">
      <c r="A626" s="3"/>
      <c r="B626" s="3"/>
      <c r="C626" s="3"/>
      <c r="D626" s="3"/>
      <c r="E626" s="3"/>
      <c r="F626" s="3"/>
    </row>
    <row r="627" spans="1:6" ht="15.75" customHeight="1">
      <c r="A627" s="3"/>
      <c r="B627" s="3"/>
      <c r="C627" s="3"/>
      <c r="D627" s="3"/>
      <c r="E627" s="3"/>
      <c r="F627" s="3"/>
    </row>
    <row r="628" spans="1:6" ht="15.75" customHeight="1">
      <c r="A628" s="3"/>
      <c r="B628" s="3"/>
      <c r="C628" s="3"/>
      <c r="D628" s="3"/>
      <c r="E628" s="3"/>
      <c r="F628" s="3"/>
    </row>
    <row r="629" spans="1:6" ht="15.75" customHeight="1">
      <c r="A629" s="3"/>
      <c r="B629" s="3"/>
      <c r="C629" s="3"/>
      <c r="D629" s="3"/>
      <c r="E629" s="3"/>
      <c r="F629" s="3"/>
    </row>
    <row r="630" spans="1:6" ht="15.75" customHeight="1">
      <c r="A630" s="3"/>
      <c r="B630" s="3"/>
      <c r="C630" s="3"/>
      <c r="D630" s="3"/>
      <c r="E630" s="3"/>
      <c r="F630" s="3"/>
    </row>
    <row r="631" spans="1:6" ht="15.75" customHeight="1">
      <c r="A631" s="3"/>
      <c r="B631" s="3"/>
      <c r="C631" s="3"/>
      <c r="D631" s="3"/>
      <c r="E631" s="3"/>
      <c r="F631" s="3"/>
    </row>
    <row r="632" spans="1:6" ht="15.75" customHeight="1">
      <c r="A632" s="3"/>
      <c r="B632" s="3"/>
      <c r="C632" s="3"/>
      <c r="D632" s="3"/>
      <c r="E632" s="3"/>
      <c r="F632" s="3"/>
    </row>
    <row r="633" spans="1:6" ht="15.75" customHeight="1">
      <c r="A633" s="3"/>
      <c r="B633" s="3"/>
      <c r="C633" s="3"/>
      <c r="D633" s="3"/>
      <c r="E633" s="3"/>
      <c r="F633" s="3"/>
    </row>
    <row r="634" spans="1:6" ht="15.75" customHeight="1">
      <c r="A634" s="3"/>
      <c r="B634" s="3"/>
      <c r="C634" s="3"/>
      <c r="D634" s="3"/>
      <c r="E634" s="3"/>
      <c r="F634" s="3"/>
    </row>
    <row r="635" spans="1:6" ht="15.75" customHeight="1">
      <c r="A635" s="3"/>
      <c r="B635" s="3"/>
      <c r="C635" s="3"/>
      <c r="D635" s="3"/>
      <c r="E635" s="3"/>
      <c r="F635" s="3"/>
    </row>
    <row r="636" spans="1:6" ht="15.75" customHeight="1">
      <c r="A636" s="3"/>
      <c r="B636" s="3"/>
      <c r="C636" s="3"/>
      <c r="D636" s="3"/>
      <c r="E636" s="3"/>
      <c r="F636" s="3"/>
    </row>
    <row r="637" spans="1:6" ht="15.75" customHeight="1">
      <c r="A637" s="3"/>
      <c r="B637" s="3"/>
      <c r="C637" s="3"/>
      <c r="D637" s="3"/>
      <c r="E637" s="3"/>
      <c r="F637" s="3"/>
    </row>
    <row r="638" spans="1:6" ht="15.75" customHeight="1">
      <c r="A638" s="3"/>
      <c r="B638" s="3"/>
      <c r="C638" s="3"/>
      <c r="D638" s="3"/>
      <c r="E638" s="3"/>
      <c r="F638" s="3"/>
    </row>
    <row r="639" spans="1:6" ht="15.75" customHeight="1">
      <c r="A639" s="3"/>
      <c r="B639" s="3"/>
      <c r="C639" s="3"/>
      <c r="D639" s="3"/>
      <c r="E639" s="3"/>
      <c r="F639" s="3"/>
    </row>
    <row r="640" spans="1:6" ht="15.75" customHeight="1">
      <c r="A640" s="3"/>
      <c r="B640" s="3"/>
      <c r="C640" s="3"/>
      <c r="D640" s="3"/>
      <c r="E640" s="3"/>
      <c r="F640" s="3"/>
    </row>
    <row r="641" spans="1:6" ht="15.75" customHeight="1">
      <c r="A641" s="3"/>
      <c r="B641" s="3"/>
      <c r="C641" s="3"/>
      <c r="D641" s="3"/>
      <c r="E641" s="3"/>
      <c r="F641" s="3"/>
    </row>
    <row r="642" spans="1:6" ht="15.75" customHeight="1">
      <c r="A642" s="3"/>
      <c r="B642" s="3"/>
      <c r="C642" s="3"/>
      <c r="D642" s="3"/>
      <c r="E642" s="3"/>
      <c r="F642" s="3"/>
    </row>
    <row r="643" spans="1:6" ht="15.75" customHeight="1">
      <c r="A643" s="3"/>
      <c r="B643" s="3"/>
      <c r="C643" s="3"/>
      <c r="D643" s="3"/>
      <c r="E643" s="3"/>
      <c r="F643" s="3"/>
    </row>
    <row r="644" spans="1:6" ht="15.75" customHeight="1">
      <c r="A644" s="3"/>
      <c r="B644" s="3"/>
      <c r="C644" s="3"/>
      <c r="D644" s="3"/>
      <c r="E644" s="3"/>
      <c r="F644" s="3"/>
    </row>
    <row r="645" spans="1:6" ht="15.75" customHeight="1">
      <c r="A645" s="3"/>
      <c r="B645" s="3"/>
      <c r="C645" s="3"/>
      <c r="D645" s="3"/>
      <c r="E645" s="3"/>
      <c r="F645" s="3"/>
    </row>
    <row r="646" spans="1:6" ht="15.75" customHeight="1">
      <c r="A646" s="3"/>
      <c r="B646" s="3"/>
      <c r="C646" s="3"/>
      <c r="D646" s="3"/>
      <c r="E646" s="3"/>
      <c r="F646" s="3"/>
    </row>
    <row r="647" spans="1:6" ht="15.75" customHeight="1">
      <c r="A647" s="3"/>
      <c r="B647" s="3"/>
      <c r="C647" s="3"/>
      <c r="D647" s="3"/>
      <c r="E647" s="3"/>
      <c r="F647" s="3"/>
    </row>
    <row r="648" spans="1:6" ht="15.75" customHeight="1">
      <c r="A648" s="3"/>
      <c r="B648" s="3"/>
      <c r="C648" s="3"/>
      <c r="D648" s="3"/>
      <c r="E648" s="3"/>
      <c r="F648" s="3"/>
    </row>
    <row r="649" spans="1:6" ht="15.75" customHeight="1">
      <c r="A649" s="3"/>
      <c r="B649" s="3"/>
      <c r="C649" s="3"/>
      <c r="D649" s="3"/>
      <c r="E649" s="3"/>
      <c r="F649" s="3"/>
    </row>
    <row r="650" spans="1:6" ht="15.75" customHeight="1">
      <c r="A650" s="3"/>
      <c r="B650" s="3"/>
      <c r="C650" s="3"/>
      <c r="D650" s="3"/>
      <c r="E650" s="3"/>
      <c r="F650" s="3"/>
    </row>
    <row r="651" spans="1:6" ht="15.75" customHeight="1">
      <c r="A651" s="3"/>
      <c r="B651" s="3"/>
      <c r="C651" s="3"/>
      <c r="D651" s="3"/>
      <c r="E651" s="3"/>
      <c r="F651" s="3"/>
    </row>
    <row r="652" spans="1:6" ht="15.75" customHeight="1">
      <c r="A652" s="3"/>
      <c r="B652" s="3"/>
      <c r="C652" s="3"/>
      <c r="D652" s="3"/>
      <c r="E652" s="3"/>
      <c r="F652" s="3"/>
    </row>
    <row r="653" spans="1:6" ht="15.75" customHeight="1">
      <c r="A653" s="3"/>
      <c r="B653" s="3"/>
      <c r="C653" s="3"/>
      <c r="D653" s="3"/>
      <c r="E653" s="3"/>
      <c r="F653" s="3"/>
    </row>
    <row r="654" spans="1:6" ht="15.75" customHeight="1">
      <c r="A654" s="3"/>
      <c r="B654" s="3"/>
      <c r="C654" s="3"/>
      <c r="D654" s="3"/>
      <c r="E654" s="3"/>
      <c r="F654" s="3"/>
    </row>
    <row r="655" spans="1:6" ht="15.75" customHeight="1">
      <c r="A655" s="3"/>
      <c r="B655" s="3"/>
      <c r="C655" s="3"/>
      <c r="D655" s="3"/>
      <c r="E655" s="3"/>
      <c r="F655" s="3"/>
    </row>
    <row r="656" spans="1:6" ht="15.75" customHeight="1">
      <c r="A656" s="3"/>
      <c r="B656" s="3"/>
      <c r="C656" s="3"/>
      <c r="D656" s="3"/>
      <c r="E656" s="3"/>
      <c r="F656" s="3"/>
    </row>
    <row r="657" spans="1:6" ht="15.75" customHeight="1">
      <c r="A657" s="3"/>
      <c r="B657" s="3"/>
      <c r="C657" s="3"/>
      <c r="D657" s="3"/>
      <c r="E657" s="3"/>
      <c r="F657" s="3"/>
    </row>
    <row r="658" spans="1:6" ht="15.75" customHeight="1">
      <c r="A658" s="3"/>
      <c r="B658" s="3"/>
      <c r="C658" s="3"/>
      <c r="D658" s="3"/>
      <c r="E658" s="3"/>
      <c r="F658" s="3"/>
    </row>
    <row r="659" spans="1:6" ht="15.75" customHeight="1">
      <c r="A659" s="3"/>
      <c r="B659" s="3"/>
      <c r="C659" s="3"/>
      <c r="D659" s="3"/>
      <c r="E659" s="3"/>
      <c r="F659" s="3"/>
    </row>
    <row r="660" spans="1:6" ht="15.75" customHeight="1">
      <c r="A660" s="3"/>
      <c r="B660" s="3"/>
      <c r="C660" s="3"/>
      <c r="D660" s="3"/>
      <c r="E660" s="3"/>
      <c r="F660" s="3"/>
    </row>
    <row r="661" spans="1:6" ht="15.75" customHeight="1">
      <c r="A661" s="3"/>
      <c r="B661" s="3"/>
      <c r="C661" s="3"/>
      <c r="D661" s="3"/>
      <c r="E661" s="3"/>
      <c r="F661" s="3"/>
    </row>
    <row r="662" spans="1:6" ht="15.75" customHeight="1">
      <c r="A662" s="3"/>
      <c r="B662" s="3"/>
      <c r="C662" s="3"/>
      <c r="D662" s="3"/>
      <c r="E662" s="3"/>
      <c r="F662" s="3"/>
    </row>
    <row r="663" spans="1:6" ht="15.75" customHeight="1">
      <c r="A663" s="3"/>
      <c r="B663" s="3"/>
      <c r="C663" s="3"/>
      <c r="D663" s="3"/>
      <c r="E663" s="3"/>
      <c r="F663" s="3"/>
    </row>
    <row r="664" spans="1:6" ht="15.75" customHeight="1">
      <c r="A664" s="3"/>
      <c r="B664" s="3"/>
      <c r="C664" s="3"/>
      <c r="D664" s="3"/>
      <c r="E664" s="3"/>
      <c r="F664" s="3"/>
    </row>
    <row r="665" spans="1:6" ht="15.75" customHeight="1">
      <c r="A665" s="3"/>
      <c r="B665" s="3"/>
      <c r="C665" s="3"/>
      <c r="D665" s="3"/>
      <c r="E665" s="3"/>
      <c r="F665" s="3"/>
    </row>
    <row r="666" spans="1:6" ht="15.75" customHeight="1">
      <c r="A666" s="3"/>
      <c r="B666" s="3"/>
      <c r="C666" s="3"/>
      <c r="D666" s="3"/>
      <c r="E666" s="3"/>
      <c r="F666" s="3"/>
    </row>
    <row r="667" spans="1:6" ht="15.75" customHeight="1">
      <c r="A667" s="3"/>
      <c r="B667" s="3"/>
      <c r="C667" s="3"/>
      <c r="D667" s="3"/>
      <c r="E667" s="3"/>
      <c r="F667" s="3"/>
    </row>
    <row r="668" spans="1:6" ht="15.75" customHeight="1">
      <c r="A668" s="3"/>
      <c r="B668" s="3"/>
      <c r="C668" s="3"/>
      <c r="D668" s="3"/>
      <c r="E668" s="3"/>
      <c r="F668" s="3"/>
    </row>
    <row r="669" spans="1:6" ht="15.75" customHeight="1">
      <c r="A669" s="3"/>
      <c r="B669" s="3"/>
      <c r="C669" s="3"/>
      <c r="D669" s="3"/>
      <c r="E669" s="3"/>
      <c r="F669" s="3"/>
    </row>
    <row r="670" spans="1:6" ht="15.75" customHeight="1">
      <c r="A670" s="3"/>
      <c r="B670" s="3"/>
      <c r="C670" s="3"/>
      <c r="D670" s="3"/>
      <c r="E670" s="3"/>
      <c r="F670" s="3"/>
    </row>
    <row r="671" spans="1:6" ht="15.75" customHeight="1">
      <c r="A671" s="3"/>
      <c r="B671" s="3"/>
      <c r="C671" s="3"/>
      <c r="D671" s="3"/>
      <c r="E671" s="3"/>
      <c r="F671" s="3"/>
    </row>
    <row r="672" spans="1:6" ht="15.75" customHeight="1">
      <c r="A672" s="3"/>
      <c r="B672" s="3"/>
      <c r="C672" s="3"/>
      <c r="D672" s="3"/>
      <c r="E672" s="3"/>
      <c r="F672" s="3"/>
    </row>
    <row r="673" spans="1:6" ht="15.75" customHeight="1">
      <c r="A673" s="3"/>
      <c r="B673" s="3"/>
      <c r="C673" s="3"/>
      <c r="D673" s="3"/>
      <c r="E673" s="3"/>
      <c r="F673" s="3"/>
    </row>
    <row r="674" spans="1:6" ht="15.75" customHeight="1">
      <c r="A674" s="3"/>
      <c r="B674" s="3"/>
      <c r="C674" s="3"/>
      <c r="D674" s="3"/>
      <c r="E674" s="3"/>
      <c r="F674" s="3"/>
    </row>
    <row r="675" spans="1:6" ht="15.75" customHeight="1">
      <c r="A675" s="3"/>
      <c r="B675" s="3"/>
      <c r="C675" s="3"/>
      <c r="D675" s="3"/>
      <c r="E675" s="3"/>
      <c r="F675" s="3"/>
    </row>
    <row r="676" spans="1:6" ht="15.75" customHeight="1">
      <c r="A676" s="3"/>
      <c r="B676" s="3"/>
      <c r="C676" s="3"/>
      <c r="D676" s="3"/>
      <c r="E676" s="3"/>
      <c r="F676" s="3"/>
    </row>
    <row r="677" spans="1:6" ht="15.75" customHeight="1">
      <c r="A677" s="3"/>
      <c r="B677" s="3"/>
      <c r="C677" s="3"/>
      <c r="D677" s="3"/>
      <c r="E677" s="3"/>
      <c r="F677" s="3"/>
    </row>
    <row r="678" spans="1:6" ht="15.75" customHeight="1">
      <c r="A678" s="3"/>
      <c r="B678" s="3"/>
      <c r="C678" s="3"/>
      <c r="D678" s="3"/>
      <c r="E678" s="3"/>
      <c r="F678" s="3"/>
    </row>
    <row r="679" spans="1:6" ht="15.75" customHeight="1">
      <c r="A679" s="3"/>
      <c r="B679" s="3"/>
      <c r="C679" s="3"/>
      <c r="D679" s="3"/>
      <c r="E679" s="3"/>
      <c r="F679" s="3"/>
    </row>
    <row r="680" spans="1:6" ht="15.75" customHeight="1">
      <c r="A680" s="3"/>
      <c r="B680" s="3"/>
      <c r="C680" s="3"/>
      <c r="D680" s="3"/>
      <c r="E680" s="3"/>
      <c r="F680" s="3"/>
    </row>
    <row r="681" spans="1:6" ht="15.75" customHeight="1">
      <c r="A681" s="3"/>
      <c r="B681" s="3"/>
      <c r="C681" s="3"/>
      <c r="D681" s="3"/>
      <c r="E681" s="3"/>
      <c r="F681" s="3"/>
    </row>
    <row r="682" spans="1:6" ht="15.75" customHeight="1">
      <c r="A682" s="3"/>
      <c r="B682" s="3"/>
      <c r="C682" s="3"/>
      <c r="D682" s="3"/>
      <c r="E682" s="3"/>
      <c r="F682" s="3"/>
    </row>
    <row r="683" spans="1:6" ht="15.75" customHeight="1">
      <c r="A683" s="3"/>
      <c r="B683" s="3"/>
      <c r="C683" s="3"/>
      <c r="D683" s="3"/>
      <c r="E683" s="3"/>
      <c r="F683" s="3"/>
    </row>
    <row r="684" spans="1:6" ht="15.75" customHeight="1">
      <c r="A684" s="3"/>
      <c r="B684" s="3"/>
      <c r="C684" s="3"/>
      <c r="D684" s="3"/>
      <c r="E684" s="3"/>
      <c r="F684" s="3"/>
    </row>
    <row r="685" spans="1:6" ht="15.75" customHeight="1">
      <c r="A685" s="3"/>
      <c r="B685" s="3"/>
      <c r="C685" s="3"/>
      <c r="D685" s="3"/>
      <c r="E685" s="3"/>
      <c r="F685" s="3"/>
    </row>
    <row r="686" spans="1:6" ht="15.75" customHeight="1">
      <c r="A686" s="3"/>
      <c r="B686" s="3"/>
      <c r="C686" s="3"/>
      <c r="D686" s="3"/>
      <c r="E686" s="3"/>
      <c r="F686" s="3"/>
    </row>
    <row r="687" spans="1:6" ht="15.75" customHeight="1">
      <c r="A687" s="3"/>
      <c r="B687" s="3"/>
      <c r="C687" s="3"/>
      <c r="D687" s="3"/>
      <c r="E687" s="3"/>
      <c r="F687" s="3"/>
    </row>
    <row r="688" spans="1:6" ht="15.75" customHeight="1">
      <c r="A688" s="3"/>
      <c r="B688" s="3"/>
      <c r="C688" s="3"/>
      <c r="D688" s="3"/>
      <c r="E688" s="3"/>
      <c r="F688" s="3"/>
    </row>
    <row r="689" spans="1:6" ht="15.75" customHeight="1">
      <c r="A689" s="3"/>
      <c r="B689" s="3"/>
      <c r="C689" s="3"/>
      <c r="D689" s="3"/>
      <c r="E689" s="3"/>
      <c r="F689" s="3"/>
    </row>
    <row r="690" spans="1:6" ht="15.75" customHeight="1">
      <c r="A690" s="3"/>
      <c r="B690" s="3"/>
      <c r="C690" s="3"/>
      <c r="D690" s="3"/>
      <c r="E690" s="3"/>
      <c r="F690" s="3"/>
    </row>
    <row r="691" spans="1:6" ht="15.75" customHeight="1">
      <c r="A691" s="3"/>
      <c r="B691" s="3"/>
      <c r="C691" s="3"/>
      <c r="D691" s="3"/>
      <c r="E691" s="3"/>
      <c r="F691" s="3"/>
    </row>
    <row r="692" spans="1:6" ht="15.75" customHeight="1">
      <c r="A692" s="3"/>
      <c r="B692" s="3"/>
      <c r="C692" s="3"/>
      <c r="D692" s="3"/>
      <c r="E692" s="3"/>
      <c r="F692" s="3"/>
    </row>
    <row r="693" spans="1:6" ht="15.75" customHeight="1">
      <c r="A693" s="3"/>
      <c r="B693" s="3"/>
      <c r="C693" s="3"/>
      <c r="D693" s="3"/>
      <c r="E693" s="3"/>
      <c r="F693" s="3"/>
    </row>
    <row r="694" spans="1:6" ht="15.75" customHeight="1">
      <c r="A694" s="3"/>
      <c r="B694" s="3"/>
      <c r="C694" s="3"/>
      <c r="D694" s="3"/>
      <c r="E694" s="3"/>
      <c r="F694" s="3"/>
    </row>
    <row r="695" spans="1:6" ht="15.75" customHeight="1">
      <c r="A695" s="3"/>
      <c r="B695" s="3"/>
      <c r="C695" s="3"/>
      <c r="D695" s="3"/>
      <c r="E695" s="3"/>
      <c r="F695" s="3"/>
    </row>
    <row r="696" spans="1:6" ht="15.75" customHeight="1">
      <c r="A696" s="3"/>
      <c r="B696" s="3"/>
      <c r="C696" s="3"/>
      <c r="D696" s="3"/>
      <c r="E696" s="3"/>
      <c r="F696" s="3"/>
    </row>
    <row r="697" spans="1:6" ht="15.75" customHeight="1">
      <c r="A697" s="3"/>
      <c r="B697" s="3"/>
      <c r="C697" s="3"/>
      <c r="D697" s="3"/>
      <c r="E697" s="3"/>
      <c r="F697" s="3"/>
    </row>
    <row r="698" spans="1:6" ht="15.75" customHeight="1">
      <c r="A698" s="3"/>
      <c r="B698" s="3"/>
      <c r="C698" s="3"/>
      <c r="D698" s="3"/>
      <c r="E698" s="3"/>
      <c r="F698" s="3"/>
    </row>
    <row r="699" spans="1:6" ht="15.75" customHeight="1">
      <c r="A699" s="3"/>
      <c r="B699" s="3"/>
      <c r="C699" s="3"/>
      <c r="D699" s="3"/>
      <c r="E699" s="3"/>
      <c r="F699" s="3"/>
    </row>
    <row r="700" spans="1:6" ht="15.75" customHeight="1">
      <c r="A700" s="3"/>
      <c r="B700" s="3"/>
      <c r="C700" s="3"/>
      <c r="D700" s="3"/>
      <c r="E700" s="3"/>
      <c r="F700" s="3"/>
    </row>
    <row r="701" spans="1:6" ht="15.75" customHeight="1">
      <c r="A701" s="3"/>
      <c r="B701" s="3"/>
      <c r="C701" s="3"/>
      <c r="D701" s="3"/>
      <c r="E701" s="3"/>
      <c r="F701" s="3"/>
    </row>
    <row r="702" spans="1:6" ht="15.75" customHeight="1">
      <c r="A702" s="3"/>
      <c r="B702" s="3"/>
      <c r="C702" s="3"/>
      <c r="D702" s="3"/>
      <c r="E702" s="3"/>
      <c r="F702" s="3"/>
    </row>
    <row r="703" spans="1:6" ht="15.75" customHeight="1">
      <c r="A703" s="3"/>
      <c r="B703" s="3"/>
      <c r="C703" s="3"/>
      <c r="D703" s="3"/>
      <c r="E703" s="3"/>
      <c r="F703" s="3"/>
    </row>
    <row r="704" spans="1:6" ht="15.75" customHeight="1">
      <c r="A704" s="3"/>
      <c r="B704" s="3"/>
      <c r="C704" s="3"/>
      <c r="D704" s="3"/>
      <c r="E704" s="3"/>
      <c r="F704" s="3"/>
    </row>
    <row r="705" spans="1:6" ht="15.75" customHeight="1">
      <c r="A705" s="3"/>
      <c r="B705" s="3"/>
      <c r="C705" s="3"/>
      <c r="D705" s="3"/>
      <c r="E705" s="3"/>
      <c r="F705" s="3"/>
    </row>
    <row r="706" spans="1:6" ht="15.75" customHeight="1">
      <c r="A706" s="3"/>
      <c r="B706" s="3"/>
      <c r="C706" s="3"/>
      <c r="D706" s="3"/>
      <c r="E706" s="3"/>
      <c r="F706" s="3"/>
    </row>
    <row r="707" spans="1:6" ht="15.75" customHeight="1">
      <c r="A707" s="3"/>
      <c r="B707" s="3"/>
      <c r="C707" s="3"/>
      <c r="D707" s="3"/>
      <c r="E707" s="3"/>
      <c r="F707" s="3"/>
    </row>
    <row r="708" spans="1:6" ht="15.75" customHeight="1">
      <c r="A708" s="3"/>
      <c r="B708" s="3"/>
      <c r="C708" s="3"/>
      <c r="D708" s="3"/>
      <c r="E708" s="3"/>
      <c r="F708" s="3"/>
    </row>
    <row r="709" spans="1:6" ht="15.75" customHeight="1">
      <c r="A709" s="3"/>
      <c r="B709" s="3"/>
      <c r="C709" s="3"/>
      <c r="D709" s="3"/>
      <c r="E709" s="3"/>
      <c r="F709" s="3"/>
    </row>
    <row r="710" spans="1:6" ht="15.75" customHeight="1">
      <c r="A710" s="3"/>
      <c r="B710" s="3"/>
      <c r="C710" s="3"/>
      <c r="D710" s="3"/>
      <c r="E710" s="3"/>
      <c r="F710" s="3"/>
    </row>
    <row r="711" spans="1:6" ht="15.75" customHeight="1">
      <c r="A711" s="3"/>
      <c r="B711" s="3"/>
      <c r="C711" s="3"/>
      <c r="D711" s="3"/>
      <c r="E711" s="3"/>
      <c r="F711" s="3"/>
    </row>
    <row r="712" spans="1:6" ht="15.75" customHeight="1">
      <c r="A712" s="3"/>
      <c r="B712" s="3"/>
      <c r="C712" s="3"/>
      <c r="D712" s="3"/>
      <c r="E712" s="3"/>
      <c r="F712" s="3"/>
    </row>
    <row r="713" spans="1:6" ht="15.75" customHeight="1">
      <c r="A713" s="3"/>
      <c r="B713" s="3"/>
      <c r="C713" s="3"/>
      <c r="D713" s="3"/>
      <c r="E713" s="3"/>
      <c r="F713" s="3"/>
    </row>
    <row r="714" spans="1:6" ht="15.75" customHeight="1">
      <c r="A714" s="3"/>
      <c r="B714" s="3"/>
      <c r="C714" s="3"/>
      <c r="D714" s="3"/>
      <c r="E714" s="3"/>
      <c r="F714" s="3"/>
    </row>
    <row r="715" spans="1:6" ht="15.75" customHeight="1">
      <c r="A715" s="3"/>
      <c r="B715" s="3"/>
      <c r="C715" s="3"/>
      <c r="D715" s="3"/>
      <c r="E715" s="3"/>
      <c r="F715" s="3"/>
    </row>
    <row r="716" spans="1:6" ht="15.75" customHeight="1">
      <c r="A716" s="3"/>
      <c r="B716" s="3"/>
      <c r="C716" s="3"/>
      <c r="D716" s="3"/>
      <c r="E716" s="3"/>
      <c r="F716" s="3"/>
    </row>
    <row r="717" spans="1:6" ht="15.75" customHeight="1">
      <c r="A717" s="3"/>
      <c r="B717" s="3"/>
      <c r="C717" s="3"/>
      <c r="D717" s="3"/>
      <c r="E717" s="3"/>
      <c r="F717" s="3"/>
    </row>
    <row r="718" spans="1:6" ht="15.75" customHeight="1">
      <c r="A718" s="3"/>
      <c r="B718" s="3"/>
      <c r="C718" s="3"/>
      <c r="D718" s="3"/>
      <c r="E718" s="3"/>
      <c r="F718" s="3"/>
    </row>
    <row r="719" spans="1:6" ht="15.75" customHeight="1">
      <c r="A719" s="3"/>
      <c r="B719" s="3"/>
      <c r="C719" s="3"/>
      <c r="D719" s="3"/>
      <c r="E719" s="3"/>
      <c r="F719" s="3"/>
    </row>
    <row r="720" spans="1:6" ht="15.75" customHeight="1">
      <c r="A720" s="3"/>
      <c r="B720" s="3"/>
      <c r="C720" s="3"/>
      <c r="D720" s="3"/>
      <c r="E720" s="3"/>
      <c r="F720" s="3"/>
    </row>
    <row r="721" spans="1:6" ht="15.75" customHeight="1">
      <c r="A721" s="3"/>
      <c r="B721" s="3"/>
      <c r="C721" s="3"/>
      <c r="D721" s="3"/>
      <c r="E721" s="3"/>
      <c r="F721" s="3"/>
    </row>
    <row r="722" spans="1:6" ht="15.75" customHeight="1">
      <c r="A722" s="3"/>
      <c r="B722" s="3"/>
      <c r="C722" s="3"/>
      <c r="D722" s="3"/>
      <c r="E722" s="3"/>
      <c r="F722" s="3"/>
    </row>
    <row r="723" spans="1:6" ht="15.75" customHeight="1">
      <c r="A723" s="3"/>
      <c r="B723" s="3"/>
      <c r="C723" s="3"/>
      <c r="D723" s="3"/>
      <c r="E723" s="3"/>
      <c r="F723" s="3"/>
    </row>
    <row r="724" spans="1:6" ht="15.75" customHeight="1">
      <c r="A724" s="3"/>
      <c r="B724" s="3"/>
      <c r="C724" s="3"/>
      <c r="D724" s="3"/>
      <c r="E724" s="3"/>
      <c r="F724" s="3"/>
    </row>
    <row r="725" spans="1:6" ht="15.75" customHeight="1">
      <c r="A725" s="3"/>
      <c r="B725" s="3"/>
      <c r="C725" s="3"/>
      <c r="D725" s="3"/>
      <c r="E725" s="3"/>
      <c r="F725" s="3"/>
    </row>
    <row r="726" spans="1:6" ht="15.75" customHeight="1">
      <c r="A726" s="3"/>
      <c r="B726" s="3"/>
      <c r="C726" s="3"/>
      <c r="D726" s="3"/>
      <c r="E726" s="3"/>
      <c r="F726" s="3"/>
    </row>
    <row r="727" spans="1:6" ht="15.75" customHeight="1">
      <c r="A727" s="3"/>
      <c r="B727" s="3"/>
      <c r="C727" s="3"/>
      <c r="D727" s="3"/>
      <c r="E727" s="3"/>
      <c r="F727" s="3"/>
    </row>
    <row r="728" spans="1:6" ht="15.75" customHeight="1">
      <c r="A728" s="3"/>
      <c r="B728" s="3"/>
      <c r="C728" s="3"/>
      <c r="D728" s="3"/>
      <c r="E728" s="3"/>
      <c r="F728" s="3"/>
    </row>
    <row r="729" spans="1:6" ht="15.75" customHeight="1">
      <c r="A729" s="3"/>
      <c r="B729" s="3"/>
      <c r="C729" s="3"/>
      <c r="D729" s="3"/>
      <c r="E729" s="3"/>
      <c r="F729" s="3"/>
    </row>
    <row r="730" spans="1:6" ht="15.75" customHeight="1">
      <c r="A730" s="3"/>
      <c r="B730" s="3"/>
      <c r="C730" s="3"/>
      <c r="D730" s="3"/>
      <c r="E730" s="3"/>
      <c r="F730" s="3"/>
    </row>
    <row r="731" spans="1:6" ht="15.75" customHeight="1">
      <c r="A731" s="3"/>
      <c r="B731" s="3"/>
      <c r="C731" s="3"/>
      <c r="D731" s="3"/>
      <c r="E731" s="3"/>
      <c r="F731" s="3"/>
    </row>
    <row r="732" spans="1:6" ht="15.75" customHeight="1">
      <c r="A732" s="3"/>
      <c r="B732" s="3"/>
      <c r="C732" s="3"/>
      <c r="D732" s="3"/>
      <c r="E732" s="3"/>
      <c r="F732" s="3"/>
    </row>
    <row r="733" spans="1:6" ht="15.75" customHeight="1">
      <c r="A733" s="3"/>
      <c r="B733" s="3"/>
      <c r="C733" s="3"/>
      <c r="D733" s="3"/>
      <c r="E733" s="3"/>
      <c r="F733" s="3"/>
    </row>
    <row r="734" spans="1:6" ht="15.75" customHeight="1">
      <c r="A734" s="3"/>
      <c r="B734" s="3"/>
      <c r="C734" s="3"/>
      <c r="D734" s="3"/>
      <c r="E734" s="3"/>
      <c r="F734" s="3"/>
    </row>
    <row r="735" spans="1:6" ht="15.75" customHeight="1">
      <c r="A735" s="3"/>
      <c r="B735" s="3"/>
      <c r="C735" s="3"/>
      <c r="D735" s="3"/>
      <c r="E735" s="3"/>
      <c r="F735" s="3"/>
    </row>
    <row r="736" spans="1:6" ht="15.75" customHeight="1">
      <c r="A736" s="3"/>
      <c r="B736" s="3"/>
      <c r="C736" s="3"/>
      <c r="D736" s="3"/>
      <c r="E736" s="3"/>
      <c r="F736" s="3"/>
    </row>
    <row r="737" spans="1:6" ht="15.75" customHeight="1">
      <c r="A737" s="3"/>
      <c r="B737" s="3"/>
      <c r="C737" s="3"/>
      <c r="D737" s="3"/>
      <c r="E737" s="3"/>
      <c r="F737" s="3"/>
    </row>
    <row r="738" spans="1:6" ht="15.75" customHeight="1">
      <c r="A738" s="3"/>
      <c r="B738" s="3"/>
      <c r="C738" s="3"/>
      <c r="D738" s="3"/>
      <c r="E738" s="3"/>
      <c r="F738" s="3"/>
    </row>
    <row r="739" spans="1:6" ht="15.75" customHeight="1">
      <c r="A739" s="3"/>
      <c r="B739" s="3"/>
      <c r="C739" s="3"/>
      <c r="D739" s="3"/>
      <c r="E739" s="3"/>
      <c r="F739" s="3"/>
    </row>
    <row r="740" spans="1:6" ht="15.75" customHeight="1">
      <c r="A740" s="3"/>
      <c r="B740" s="3"/>
      <c r="C740" s="3"/>
      <c r="D740" s="3"/>
      <c r="E740" s="3"/>
      <c r="F740" s="3"/>
    </row>
    <row r="741" spans="1:6" ht="15.75" customHeight="1">
      <c r="A741" s="3"/>
      <c r="B741" s="3"/>
      <c r="C741" s="3"/>
      <c r="D741" s="3"/>
      <c r="E741" s="3"/>
      <c r="F741" s="3"/>
    </row>
    <row r="742" spans="1:6" ht="15.75" customHeight="1">
      <c r="A742" s="3"/>
      <c r="B742" s="3"/>
      <c r="C742" s="3"/>
      <c r="D742" s="3"/>
      <c r="E742" s="3"/>
      <c r="F742" s="3"/>
    </row>
    <row r="743" spans="1:6" ht="15.75" customHeight="1">
      <c r="A743" s="3"/>
      <c r="B743" s="3"/>
      <c r="C743" s="3"/>
      <c r="D743" s="3"/>
      <c r="E743" s="3"/>
      <c r="F743" s="3"/>
    </row>
    <row r="744" spans="1:6" ht="15.75" customHeight="1">
      <c r="A744" s="3"/>
      <c r="B744" s="3"/>
      <c r="C744" s="3"/>
      <c r="D744" s="3"/>
      <c r="E744" s="3"/>
      <c r="F744" s="3"/>
    </row>
    <row r="745" spans="1:6" ht="15.75" customHeight="1">
      <c r="A745" s="3"/>
      <c r="B745" s="3"/>
      <c r="C745" s="3"/>
      <c r="D745" s="3"/>
      <c r="E745" s="3"/>
      <c r="F745" s="3"/>
    </row>
    <row r="746" spans="1:6" ht="15.75" customHeight="1">
      <c r="A746" s="3"/>
      <c r="B746" s="3"/>
      <c r="C746" s="3"/>
      <c r="D746" s="3"/>
      <c r="E746" s="3"/>
      <c r="F746" s="3"/>
    </row>
    <row r="747" spans="1:6" ht="15.75" customHeight="1">
      <c r="A747" s="3"/>
      <c r="B747" s="3"/>
      <c r="C747" s="3"/>
      <c r="D747" s="3"/>
      <c r="E747" s="3"/>
      <c r="F747" s="3"/>
    </row>
    <row r="748" spans="1:6" ht="15.75" customHeight="1">
      <c r="A748" s="3"/>
      <c r="B748" s="3"/>
      <c r="C748" s="3"/>
      <c r="D748" s="3"/>
      <c r="E748" s="3"/>
      <c r="F748" s="3"/>
    </row>
    <row r="749" spans="1:6" ht="15.75" customHeight="1">
      <c r="A749" s="3"/>
      <c r="B749" s="3"/>
      <c r="C749" s="3"/>
      <c r="D749" s="3"/>
      <c r="E749" s="3"/>
      <c r="F749" s="3"/>
    </row>
    <row r="750" spans="1:6" ht="15.75" customHeight="1">
      <c r="A750" s="3"/>
      <c r="B750" s="3"/>
      <c r="C750" s="3"/>
      <c r="D750" s="3"/>
      <c r="E750" s="3"/>
      <c r="F750" s="3"/>
    </row>
    <row r="751" spans="1:6" ht="15.75" customHeight="1">
      <c r="A751" s="3"/>
      <c r="B751" s="3"/>
      <c r="C751" s="3"/>
      <c r="D751" s="3"/>
      <c r="E751" s="3"/>
      <c r="F751" s="3"/>
    </row>
    <row r="752" spans="1:6" ht="15.75" customHeight="1">
      <c r="A752" s="3"/>
      <c r="B752" s="3"/>
      <c r="C752" s="3"/>
      <c r="D752" s="3"/>
      <c r="E752" s="3"/>
      <c r="F752" s="3"/>
    </row>
    <row r="753" spans="1:6" ht="15.75" customHeight="1">
      <c r="A753" s="3"/>
      <c r="B753" s="3"/>
      <c r="C753" s="3"/>
      <c r="D753" s="3"/>
      <c r="E753" s="3"/>
      <c r="F753" s="3"/>
    </row>
    <row r="754" spans="1:6" ht="15.75" customHeight="1">
      <c r="A754" s="3"/>
      <c r="B754" s="3"/>
      <c r="C754" s="3"/>
      <c r="D754" s="3"/>
      <c r="E754" s="3"/>
      <c r="F754" s="3"/>
    </row>
    <row r="755" spans="1:6" ht="15.75" customHeight="1">
      <c r="A755" s="3"/>
      <c r="B755" s="3"/>
      <c r="C755" s="3"/>
      <c r="D755" s="3"/>
      <c r="E755" s="3"/>
      <c r="F755" s="3"/>
    </row>
    <row r="756" spans="1:6" ht="15.75" customHeight="1">
      <c r="A756" s="3"/>
      <c r="B756" s="3"/>
      <c r="C756" s="3"/>
      <c r="D756" s="3"/>
      <c r="E756" s="3"/>
      <c r="F756" s="3"/>
    </row>
    <row r="757" spans="1:6" ht="15.75" customHeight="1">
      <c r="A757" s="3"/>
      <c r="B757" s="3"/>
      <c r="C757" s="3"/>
      <c r="D757" s="3"/>
      <c r="E757" s="3"/>
      <c r="F757" s="3"/>
    </row>
    <row r="758" spans="1:6" ht="15.75" customHeight="1">
      <c r="A758" s="3"/>
      <c r="B758" s="3"/>
      <c r="C758" s="3"/>
      <c r="D758" s="3"/>
      <c r="E758" s="3"/>
      <c r="F758" s="3"/>
    </row>
    <row r="759" spans="1:6" ht="15.75" customHeight="1">
      <c r="A759" s="3"/>
      <c r="B759" s="3"/>
      <c r="C759" s="3"/>
      <c r="D759" s="3"/>
      <c r="E759" s="3"/>
      <c r="F759" s="3"/>
    </row>
    <row r="760" spans="1:6" ht="15.75" customHeight="1">
      <c r="A760" s="3"/>
      <c r="B760" s="3"/>
      <c r="C760" s="3"/>
      <c r="D760" s="3"/>
      <c r="E760" s="3"/>
      <c r="F760" s="3"/>
    </row>
    <row r="761" spans="1:6" ht="15.75" customHeight="1">
      <c r="A761" s="3"/>
      <c r="B761" s="3"/>
      <c r="C761" s="3"/>
      <c r="D761" s="3"/>
      <c r="E761" s="3"/>
      <c r="F761" s="3"/>
    </row>
    <row r="762" spans="1:6" ht="15.75" customHeight="1">
      <c r="A762" s="3"/>
      <c r="B762" s="3"/>
      <c r="C762" s="3"/>
      <c r="D762" s="3"/>
      <c r="E762" s="3"/>
      <c r="F762" s="3"/>
    </row>
    <row r="763" spans="1:6" ht="15.75" customHeight="1">
      <c r="A763" s="3"/>
      <c r="B763" s="3"/>
      <c r="C763" s="3"/>
      <c r="D763" s="3"/>
      <c r="E763" s="3"/>
      <c r="F763" s="3"/>
    </row>
    <row r="764" spans="1:6" ht="15.75" customHeight="1">
      <c r="A764" s="3"/>
      <c r="B764" s="3"/>
      <c r="C764" s="3"/>
      <c r="D764" s="3"/>
      <c r="E764" s="3"/>
      <c r="F764" s="3"/>
    </row>
    <row r="765" spans="1:6" ht="15.75" customHeight="1">
      <c r="A765" s="3"/>
      <c r="B765" s="3"/>
      <c r="C765" s="3"/>
      <c r="D765" s="3"/>
      <c r="E765" s="3"/>
      <c r="F765" s="3"/>
    </row>
    <row r="766" spans="1:6" ht="15.75" customHeight="1">
      <c r="A766" s="3"/>
      <c r="B766" s="3"/>
      <c r="C766" s="3"/>
      <c r="D766" s="3"/>
      <c r="E766" s="3"/>
      <c r="F766" s="3"/>
    </row>
    <row r="767" spans="1:6" ht="15.75" customHeight="1">
      <c r="A767" s="3"/>
      <c r="B767" s="3"/>
      <c r="C767" s="3"/>
      <c r="D767" s="3"/>
      <c r="E767" s="3"/>
      <c r="F767" s="3"/>
    </row>
    <row r="768" spans="1:6" ht="15.75" customHeight="1">
      <c r="A768" s="3"/>
      <c r="B768" s="3"/>
      <c r="C768" s="3"/>
      <c r="D768" s="3"/>
      <c r="E768" s="3"/>
      <c r="F768" s="3"/>
    </row>
    <row r="769" spans="1:6" ht="15.75" customHeight="1">
      <c r="A769" s="3"/>
      <c r="B769" s="3"/>
      <c r="C769" s="3"/>
      <c r="D769" s="3"/>
      <c r="E769" s="3"/>
      <c r="F769" s="3"/>
    </row>
    <row r="770" spans="1:6" ht="15.75" customHeight="1">
      <c r="A770" s="3"/>
      <c r="B770" s="3"/>
      <c r="C770" s="3"/>
      <c r="D770" s="3"/>
      <c r="E770" s="3"/>
      <c r="F770" s="3"/>
    </row>
    <row r="771" spans="1:6" ht="15.75" customHeight="1">
      <c r="A771" s="3"/>
      <c r="B771" s="3"/>
      <c r="C771" s="3"/>
      <c r="D771" s="3"/>
      <c r="E771" s="3"/>
      <c r="F771" s="3"/>
    </row>
    <row r="772" spans="1:6" ht="15.75" customHeight="1">
      <c r="A772" s="3"/>
      <c r="B772" s="3"/>
      <c r="C772" s="3"/>
      <c r="D772" s="3"/>
      <c r="E772" s="3"/>
      <c r="F772" s="3"/>
    </row>
    <row r="773" spans="1:6" ht="15.75" customHeight="1">
      <c r="A773" s="3"/>
      <c r="B773" s="3"/>
      <c r="C773" s="3"/>
      <c r="D773" s="3"/>
      <c r="E773" s="3"/>
      <c r="F773" s="3"/>
    </row>
    <row r="774" spans="1:6" ht="15.75" customHeight="1">
      <c r="A774" s="3"/>
      <c r="B774" s="3"/>
      <c r="C774" s="3"/>
      <c r="D774" s="3"/>
      <c r="E774" s="3"/>
      <c r="F774" s="3"/>
    </row>
    <row r="775" spans="1:6" ht="15.75" customHeight="1">
      <c r="A775" s="3"/>
      <c r="B775" s="3"/>
      <c r="C775" s="3"/>
      <c r="D775" s="3"/>
      <c r="E775" s="3"/>
      <c r="F775" s="3"/>
    </row>
    <row r="776" spans="1:6" ht="15.75" customHeight="1">
      <c r="A776" s="3"/>
      <c r="B776" s="3"/>
      <c r="C776" s="3"/>
      <c r="D776" s="3"/>
      <c r="E776" s="3"/>
      <c r="F776" s="3"/>
    </row>
    <row r="777" spans="1:6" ht="15.75" customHeight="1">
      <c r="A777" s="3"/>
      <c r="B777" s="3"/>
      <c r="C777" s="3"/>
      <c r="D777" s="3"/>
      <c r="E777" s="3"/>
      <c r="F777" s="3"/>
    </row>
    <row r="778" spans="1:6" ht="15.75" customHeight="1">
      <c r="A778" s="3"/>
      <c r="B778" s="3"/>
      <c r="C778" s="3"/>
      <c r="D778" s="3"/>
      <c r="E778" s="3"/>
      <c r="F778" s="3"/>
    </row>
    <row r="779" spans="1:6" ht="15.75" customHeight="1">
      <c r="A779" s="3"/>
      <c r="B779" s="3"/>
      <c r="C779" s="3"/>
      <c r="D779" s="3"/>
      <c r="E779" s="3"/>
      <c r="F779" s="3"/>
    </row>
    <row r="780" spans="1:6" ht="15.75" customHeight="1">
      <c r="A780" s="3"/>
      <c r="B780" s="3"/>
      <c r="C780" s="3"/>
      <c r="D780" s="3"/>
      <c r="E780" s="3"/>
      <c r="F780" s="3"/>
    </row>
    <row r="781" spans="1:6" ht="15.75" customHeight="1">
      <c r="A781" s="3"/>
      <c r="B781" s="3"/>
      <c r="C781" s="3"/>
      <c r="D781" s="3"/>
      <c r="E781" s="3"/>
      <c r="F781" s="3"/>
    </row>
    <row r="782" spans="1:6" ht="15.75" customHeight="1">
      <c r="A782" s="3"/>
      <c r="B782" s="3"/>
      <c r="C782" s="3"/>
      <c r="D782" s="3"/>
      <c r="E782" s="3"/>
      <c r="F782" s="3"/>
    </row>
    <row r="783" spans="1:6" ht="15.75" customHeight="1">
      <c r="A783" s="3"/>
      <c r="B783" s="3"/>
      <c r="C783" s="3"/>
      <c r="D783" s="3"/>
      <c r="E783" s="3"/>
      <c r="F783" s="3"/>
    </row>
    <row r="784" spans="1:6" ht="15.75" customHeight="1">
      <c r="A784" s="3"/>
      <c r="B784" s="3"/>
      <c r="C784" s="3"/>
      <c r="D784" s="3"/>
      <c r="E784" s="3"/>
      <c r="F784" s="3"/>
    </row>
    <row r="785" spans="1:6" ht="15.75" customHeight="1">
      <c r="A785" s="3"/>
      <c r="B785" s="3"/>
      <c r="C785" s="3"/>
      <c r="D785" s="3"/>
      <c r="E785" s="3"/>
      <c r="F785" s="3"/>
    </row>
    <row r="786" spans="1:6" ht="15.75" customHeight="1">
      <c r="A786" s="3"/>
      <c r="B786" s="3"/>
      <c r="C786" s="3"/>
      <c r="D786" s="3"/>
      <c r="E786" s="3"/>
      <c r="F786" s="3"/>
    </row>
    <row r="787" spans="1:6" ht="15.75" customHeight="1">
      <c r="A787" s="3"/>
      <c r="B787" s="3"/>
      <c r="C787" s="3"/>
      <c r="D787" s="3"/>
      <c r="E787" s="3"/>
      <c r="F787" s="3"/>
    </row>
    <row r="788" spans="1:6" ht="15.75" customHeight="1">
      <c r="A788" s="3"/>
      <c r="B788" s="3"/>
      <c r="C788" s="3"/>
      <c r="D788" s="3"/>
      <c r="E788" s="3"/>
      <c r="F788" s="3"/>
    </row>
    <row r="789" spans="1:6" ht="15.75" customHeight="1">
      <c r="A789" s="3"/>
      <c r="B789" s="3"/>
      <c r="C789" s="3"/>
      <c r="D789" s="3"/>
      <c r="E789" s="3"/>
      <c r="F789" s="3"/>
    </row>
    <row r="790" spans="1:6" ht="15.75" customHeight="1">
      <c r="A790" s="3"/>
      <c r="B790" s="3"/>
      <c r="C790" s="3"/>
      <c r="D790" s="3"/>
      <c r="E790" s="3"/>
      <c r="F790" s="3"/>
    </row>
    <row r="791" spans="1:6" ht="15.75" customHeight="1">
      <c r="A791" s="3"/>
      <c r="B791" s="3"/>
      <c r="C791" s="3"/>
      <c r="D791" s="3"/>
      <c r="E791" s="3"/>
      <c r="F791" s="3"/>
    </row>
    <row r="792" spans="1:6" ht="15.75" customHeight="1">
      <c r="A792" s="3"/>
      <c r="B792" s="3"/>
      <c r="C792" s="3"/>
      <c r="D792" s="3"/>
      <c r="E792" s="3"/>
      <c r="F792" s="3"/>
    </row>
    <row r="793" spans="1:6" ht="15.75" customHeight="1">
      <c r="A793" s="3"/>
      <c r="B793" s="3"/>
      <c r="C793" s="3"/>
      <c r="D793" s="3"/>
      <c r="E793" s="3"/>
      <c r="F793" s="3"/>
    </row>
    <row r="794" spans="1:6" ht="15.75" customHeight="1">
      <c r="A794" s="3"/>
      <c r="B794" s="3"/>
      <c r="C794" s="3"/>
      <c r="D794" s="3"/>
      <c r="E794" s="3"/>
      <c r="F794" s="3"/>
    </row>
    <row r="795" spans="1:6" ht="15.75" customHeight="1">
      <c r="A795" s="3"/>
      <c r="B795" s="3"/>
      <c r="C795" s="3"/>
      <c r="D795" s="3"/>
      <c r="E795" s="3"/>
      <c r="F795" s="3"/>
    </row>
    <row r="796" spans="1:6" ht="15.75" customHeight="1">
      <c r="A796" s="3"/>
      <c r="B796" s="3"/>
      <c r="C796" s="3"/>
      <c r="D796" s="3"/>
      <c r="E796" s="3"/>
      <c r="F796" s="3"/>
    </row>
    <row r="797" spans="1:6" ht="15.75" customHeight="1">
      <c r="A797" s="3"/>
      <c r="B797" s="3"/>
      <c r="C797" s="3"/>
      <c r="D797" s="3"/>
      <c r="E797" s="3"/>
      <c r="F797" s="3"/>
    </row>
    <row r="798" spans="1:6" ht="15.75" customHeight="1">
      <c r="A798" s="3"/>
      <c r="B798" s="3"/>
      <c r="C798" s="3"/>
      <c r="D798" s="3"/>
      <c r="E798" s="3"/>
      <c r="F798" s="3"/>
    </row>
    <row r="799" spans="1:6" ht="15.75" customHeight="1">
      <c r="A799" s="3"/>
      <c r="B799" s="3"/>
      <c r="C799" s="3"/>
      <c r="D799" s="3"/>
      <c r="E799" s="3"/>
      <c r="F799" s="3"/>
    </row>
    <row r="800" spans="1:6" ht="15.75" customHeight="1">
      <c r="A800" s="3"/>
      <c r="B800" s="3"/>
      <c r="C800" s="3"/>
      <c r="D800" s="3"/>
      <c r="E800" s="3"/>
      <c r="F800" s="3"/>
    </row>
    <row r="801" spans="1:6" ht="15.75" customHeight="1">
      <c r="A801" s="3"/>
      <c r="B801" s="3"/>
      <c r="C801" s="3"/>
      <c r="D801" s="3"/>
      <c r="E801" s="3"/>
      <c r="F801" s="3"/>
    </row>
    <row r="802" spans="1:6" ht="15.75" customHeight="1">
      <c r="A802" s="3"/>
      <c r="B802" s="3"/>
      <c r="C802" s="3"/>
      <c r="D802" s="3"/>
      <c r="E802" s="3"/>
      <c r="F802" s="3"/>
    </row>
    <row r="803" spans="1:6" ht="15.75" customHeight="1">
      <c r="A803" s="3"/>
      <c r="B803" s="3"/>
      <c r="C803" s="3"/>
      <c r="D803" s="3"/>
      <c r="E803" s="3"/>
      <c r="F803" s="3"/>
    </row>
    <row r="804" spans="1:6" ht="15.75" customHeight="1">
      <c r="A804" s="3"/>
      <c r="B804" s="3"/>
      <c r="C804" s="3"/>
      <c r="D804" s="3"/>
      <c r="E804" s="3"/>
      <c r="F804" s="3"/>
    </row>
    <row r="805" spans="1:6" ht="15.75" customHeight="1">
      <c r="A805" s="3"/>
      <c r="B805" s="3"/>
      <c r="C805" s="3"/>
      <c r="D805" s="3"/>
      <c r="E805" s="3"/>
      <c r="F805" s="3"/>
    </row>
    <row r="806" spans="1:6" ht="15.75" customHeight="1">
      <c r="A806" s="3"/>
      <c r="B806" s="3"/>
      <c r="C806" s="3"/>
      <c r="D806" s="3"/>
      <c r="E806" s="3"/>
      <c r="F806" s="3"/>
    </row>
    <row r="807" spans="1:6" ht="15.75" customHeight="1">
      <c r="A807" s="3"/>
      <c r="B807" s="3"/>
      <c r="C807" s="3"/>
      <c r="D807" s="3"/>
      <c r="E807" s="3"/>
      <c r="F807" s="3"/>
    </row>
    <row r="808" spans="1:6" ht="15.75" customHeight="1">
      <c r="A808" s="3"/>
      <c r="B808" s="3"/>
      <c r="C808" s="3"/>
      <c r="D808" s="3"/>
      <c r="E808" s="3"/>
      <c r="F808" s="3"/>
    </row>
    <row r="809" spans="1:6" ht="15.75" customHeight="1">
      <c r="A809" s="3"/>
      <c r="B809" s="3"/>
      <c r="C809" s="3"/>
      <c r="D809" s="3"/>
      <c r="E809" s="3"/>
      <c r="F809" s="3"/>
    </row>
    <row r="810" spans="1:6" ht="15.75" customHeight="1">
      <c r="A810" s="3"/>
      <c r="B810" s="3"/>
      <c r="C810" s="3"/>
      <c r="D810" s="3"/>
      <c r="E810" s="3"/>
      <c r="F810" s="3"/>
    </row>
    <row r="811" spans="1:6" ht="15.75" customHeight="1">
      <c r="A811" s="3"/>
      <c r="B811" s="3"/>
      <c r="C811" s="3"/>
      <c r="D811" s="3"/>
      <c r="E811" s="3"/>
      <c r="F811" s="3"/>
    </row>
    <row r="812" spans="1:6" ht="15.75" customHeight="1">
      <c r="A812" s="3"/>
      <c r="B812" s="3"/>
      <c r="C812" s="3"/>
      <c r="D812" s="3"/>
      <c r="E812" s="3"/>
      <c r="F812" s="3"/>
    </row>
    <row r="813" spans="1:6" ht="15.75" customHeight="1">
      <c r="A813" s="3"/>
      <c r="B813" s="3"/>
      <c r="C813" s="3"/>
      <c r="D813" s="3"/>
      <c r="E813" s="3"/>
      <c r="F813" s="3"/>
    </row>
    <row r="814" spans="1:6" ht="15.75" customHeight="1">
      <c r="A814" s="3"/>
      <c r="B814" s="3"/>
      <c r="C814" s="3"/>
      <c r="D814" s="3"/>
      <c r="E814" s="3"/>
      <c r="F814" s="3"/>
    </row>
    <row r="815" spans="1:6" ht="15.75" customHeight="1">
      <c r="A815" s="3"/>
      <c r="B815" s="3"/>
      <c r="C815" s="3"/>
      <c r="D815" s="3"/>
      <c r="E815" s="3"/>
      <c r="F815" s="3"/>
    </row>
    <row r="816" spans="1:6" ht="15.75" customHeight="1">
      <c r="A816" s="3"/>
      <c r="B816" s="3"/>
      <c r="C816" s="3"/>
      <c r="D816" s="3"/>
      <c r="E816" s="3"/>
      <c r="F816" s="3"/>
    </row>
    <row r="817" spans="1:6" ht="15.75" customHeight="1">
      <c r="A817" s="3"/>
      <c r="B817" s="3"/>
      <c r="C817" s="3"/>
      <c r="D817" s="3"/>
      <c r="E817" s="3"/>
      <c r="F817" s="3"/>
    </row>
    <row r="818" spans="1:6" ht="15.75" customHeight="1">
      <c r="A818" s="3"/>
      <c r="B818" s="3"/>
      <c r="C818" s="3"/>
      <c r="D818" s="3"/>
      <c r="E818" s="3"/>
      <c r="F818" s="3"/>
    </row>
    <row r="819" spans="1:6" ht="15.75" customHeight="1">
      <c r="A819" s="3"/>
      <c r="B819" s="3"/>
      <c r="C819" s="3"/>
      <c r="D819" s="3"/>
      <c r="E819" s="3"/>
      <c r="F819" s="3"/>
    </row>
    <row r="820" spans="1:6" ht="15.75" customHeight="1">
      <c r="A820" s="3"/>
      <c r="B820" s="3"/>
      <c r="C820" s="3"/>
      <c r="D820" s="3"/>
      <c r="E820" s="3"/>
      <c r="F820" s="3"/>
    </row>
    <row r="821" spans="1:6" ht="15.75" customHeight="1">
      <c r="A821" s="3"/>
      <c r="B821" s="3"/>
      <c r="C821" s="3"/>
      <c r="D821" s="3"/>
      <c r="E821" s="3"/>
      <c r="F821" s="3"/>
    </row>
    <row r="822" spans="1:6" ht="15.75" customHeight="1">
      <c r="A822" s="3"/>
      <c r="B822" s="3"/>
      <c r="C822" s="3"/>
      <c r="D822" s="3"/>
      <c r="E822" s="3"/>
      <c r="F822" s="3"/>
    </row>
    <row r="823" spans="1:6" ht="15.75" customHeight="1">
      <c r="A823" s="3"/>
      <c r="B823" s="3"/>
      <c r="C823" s="3"/>
      <c r="D823" s="3"/>
      <c r="E823" s="3"/>
      <c r="F823" s="3"/>
    </row>
    <row r="824" spans="1:6" ht="15.75" customHeight="1">
      <c r="A824" s="3"/>
      <c r="B824" s="3"/>
      <c r="C824" s="3"/>
      <c r="D824" s="3"/>
      <c r="E824" s="3"/>
      <c r="F824" s="3"/>
    </row>
    <row r="825" spans="1:6" ht="15.75" customHeight="1">
      <c r="A825" s="3"/>
      <c r="B825" s="3"/>
      <c r="C825" s="3"/>
      <c r="D825" s="3"/>
      <c r="E825" s="3"/>
      <c r="F825" s="3"/>
    </row>
    <row r="826" spans="1:6" ht="15.75" customHeight="1">
      <c r="A826" s="3"/>
      <c r="B826" s="3"/>
      <c r="C826" s="3"/>
      <c r="D826" s="3"/>
      <c r="E826" s="3"/>
      <c r="F826" s="3"/>
    </row>
    <row r="827" spans="1:6" ht="15.75" customHeight="1">
      <c r="A827" s="3"/>
      <c r="B827" s="3"/>
      <c r="C827" s="3"/>
      <c r="D827" s="3"/>
      <c r="E827" s="3"/>
      <c r="F827" s="3"/>
    </row>
    <row r="828" spans="1:6" ht="15.75" customHeight="1">
      <c r="A828" s="3"/>
      <c r="B828" s="3"/>
      <c r="C828" s="3"/>
      <c r="D828" s="3"/>
      <c r="E828" s="3"/>
      <c r="F828" s="3"/>
    </row>
    <row r="829" spans="1:6" ht="15.75" customHeight="1">
      <c r="A829" s="3"/>
      <c r="B829" s="3"/>
      <c r="C829" s="3"/>
      <c r="D829" s="3"/>
      <c r="E829" s="3"/>
      <c r="F829" s="3"/>
    </row>
    <row r="830" spans="1:6" ht="15.75" customHeight="1">
      <c r="A830" s="3"/>
      <c r="B830" s="3"/>
      <c r="C830" s="3"/>
      <c r="D830" s="3"/>
      <c r="E830" s="3"/>
      <c r="F830" s="3"/>
    </row>
    <row r="831" spans="1:6" ht="15.75" customHeight="1">
      <c r="A831" s="3"/>
      <c r="B831" s="3"/>
      <c r="C831" s="3"/>
      <c r="D831" s="3"/>
      <c r="E831" s="3"/>
      <c r="F831" s="3"/>
    </row>
    <row r="832" spans="1:6" ht="15.75" customHeight="1">
      <c r="A832" s="3"/>
      <c r="B832" s="3"/>
      <c r="C832" s="3"/>
      <c r="D832" s="3"/>
      <c r="E832" s="3"/>
      <c r="F832" s="3"/>
    </row>
    <row r="833" spans="1:6" ht="15.75" customHeight="1">
      <c r="A833" s="3"/>
      <c r="B833" s="3"/>
      <c r="C833" s="3"/>
      <c r="D833" s="3"/>
      <c r="E833" s="3"/>
      <c r="F833" s="3"/>
    </row>
    <row r="834" spans="1:6" ht="15.75" customHeight="1">
      <c r="A834" s="3"/>
      <c r="B834" s="3"/>
      <c r="C834" s="3"/>
      <c r="D834" s="3"/>
      <c r="E834" s="3"/>
      <c r="F834" s="3"/>
    </row>
    <row r="835" spans="1:6" ht="15.75" customHeight="1">
      <c r="A835" s="3"/>
      <c r="B835" s="3"/>
      <c r="C835" s="3"/>
      <c r="D835" s="3"/>
      <c r="E835" s="3"/>
      <c r="F835" s="3"/>
    </row>
    <row r="836" spans="1:6" ht="15.75" customHeight="1">
      <c r="A836" s="3"/>
      <c r="B836" s="3"/>
      <c r="C836" s="3"/>
      <c r="D836" s="3"/>
      <c r="E836" s="3"/>
      <c r="F836" s="3"/>
    </row>
    <row r="837" spans="1:6" ht="15.75" customHeight="1">
      <c r="A837" s="3"/>
      <c r="B837" s="3"/>
      <c r="C837" s="3"/>
      <c r="D837" s="3"/>
      <c r="E837" s="3"/>
      <c r="F837" s="3"/>
    </row>
    <row r="838" spans="1:6" ht="15.75" customHeight="1">
      <c r="A838" s="3"/>
      <c r="B838" s="3"/>
      <c r="C838" s="3"/>
      <c r="D838" s="3"/>
      <c r="E838" s="3"/>
      <c r="F838" s="3"/>
    </row>
    <row r="839" spans="1:6" ht="15.75" customHeight="1">
      <c r="A839" s="3"/>
      <c r="B839" s="3"/>
      <c r="C839" s="3"/>
      <c r="D839" s="3"/>
      <c r="E839" s="3"/>
      <c r="F839" s="3"/>
    </row>
    <row r="840" spans="1:6" ht="15.75" customHeight="1">
      <c r="A840" s="3"/>
      <c r="B840" s="3"/>
      <c r="C840" s="3"/>
      <c r="D840" s="3"/>
      <c r="E840" s="3"/>
      <c r="F840" s="3"/>
    </row>
    <row r="841" spans="1:6" ht="15.75" customHeight="1">
      <c r="A841" s="3"/>
      <c r="B841" s="3"/>
      <c r="C841" s="3"/>
      <c r="D841" s="3"/>
      <c r="E841" s="3"/>
      <c r="F841" s="3"/>
    </row>
    <row r="842" spans="1:6" ht="15.75" customHeight="1">
      <c r="A842" s="3"/>
      <c r="B842" s="3"/>
      <c r="C842" s="3"/>
      <c r="D842" s="3"/>
      <c r="E842" s="3"/>
      <c r="F842" s="3"/>
    </row>
    <row r="843" spans="1:6" ht="15.75" customHeight="1">
      <c r="A843" s="3"/>
      <c r="B843" s="3"/>
      <c r="C843" s="3"/>
      <c r="D843" s="3"/>
      <c r="E843" s="3"/>
      <c r="F843" s="3"/>
    </row>
    <row r="844" spans="1:6" ht="15.75" customHeight="1">
      <c r="A844" s="3"/>
      <c r="B844" s="3"/>
      <c r="C844" s="3"/>
      <c r="D844" s="3"/>
      <c r="E844" s="3"/>
      <c r="F844" s="3"/>
    </row>
    <row r="845" spans="1:6" ht="15.75" customHeight="1">
      <c r="A845" s="3"/>
      <c r="B845" s="3"/>
      <c r="C845" s="3"/>
      <c r="D845" s="3"/>
      <c r="E845" s="3"/>
      <c r="F845" s="3"/>
    </row>
    <row r="846" spans="1:6" ht="15.75" customHeight="1">
      <c r="A846" s="3"/>
      <c r="B846" s="3"/>
      <c r="C846" s="3"/>
      <c r="D846" s="3"/>
      <c r="E846" s="3"/>
      <c r="F846" s="3"/>
    </row>
    <row r="847" spans="1:6" ht="15.75" customHeight="1">
      <c r="A847" s="3"/>
      <c r="B847" s="3"/>
      <c r="C847" s="3"/>
      <c r="D847" s="3"/>
      <c r="E847" s="3"/>
      <c r="F847" s="3"/>
    </row>
    <row r="848" spans="1:6" ht="15.75" customHeight="1">
      <c r="A848" s="3"/>
      <c r="B848" s="3"/>
      <c r="C848" s="3"/>
      <c r="D848" s="3"/>
      <c r="E848" s="3"/>
      <c r="F848" s="3"/>
    </row>
    <row r="849" spans="1:6" ht="15.75" customHeight="1">
      <c r="A849" s="3"/>
      <c r="B849" s="3"/>
      <c r="C849" s="3"/>
      <c r="D849" s="3"/>
      <c r="E849" s="3"/>
      <c r="F849" s="3"/>
    </row>
    <row r="850" spans="1:6" ht="15.75" customHeight="1">
      <c r="A850" s="3"/>
      <c r="B850" s="3"/>
      <c r="C850" s="3"/>
      <c r="D850" s="3"/>
      <c r="E850" s="3"/>
      <c r="F850" s="3"/>
    </row>
    <row r="851" spans="1:6" ht="15.75" customHeight="1">
      <c r="A851" s="3"/>
      <c r="B851" s="3"/>
      <c r="C851" s="3"/>
      <c r="D851" s="3"/>
      <c r="E851" s="3"/>
      <c r="F851" s="3"/>
    </row>
    <row r="852" spans="1:6" ht="15.75" customHeight="1">
      <c r="A852" s="3"/>
      <c r="B852" s="3"/>
      <c r="C852" s="3"/>
      <c r="D852" s="3"/>
      <c r="E852" s="3"/>
      <c r="F852" s="3"/>
    </row>
    <row r="853" spans="1:6" ht="15.75" customHeight="1">
      <c r="A853" s="3"/>
      <c r="B853" s="3"/>
      <c r="C853" s="3"/>
      <c r="D853" s="3"/>
      <c r="E853" s="3"/>
      <c r="F853" s="3"/>
    </row>
    <row r="854" spans="1:6" ht="15.75" customHeight="1">
      <c r="A854" s="3"/>
      <c r="B854" s="3"/>
      <c r="C854" s="3"/>
      <c r="D854" s="3"/>
      <c r="E854" s="3"/>
      <c r="F854" s="3"/>
    </row>
    <row r="855" spans="1:6" ht="15.75" customHeight="1">
      <c r="A855" s="3"/>
      <c r="B855" s="3"/>
      <c r="C855" s="3"/>
      <c r="D855" s="3"/>
      <c r="E855" s="3"/>
      <c r="F855" s="3"/>
    </row>
    <row r="856" spans="1:6" ht="15.75" customHeight="1">
      <c r="A856" s="3"/>
      <c r="B856" s="3"/>
      <c r="C856" s="3"/>
      <c r="D856" s="3"/>
      <c r="E856" s="3"/>
      <c r="F856" s="3"/>
    </row>
    <row r="857" spans="1:6" ht="15.75" customHeight="1">
      <c r="A857" s="3"/>
      <c r="B857" s="3"/>
      <c r="C857" s="3"/>
      <c r="D857" s="3"/>
      <c r="E857" s="3"/>
      <c r="F857" s="3"/>
    </row>
    <row r="858" spans="1:6" ht="15.75" customHeight="1">
      <c r="A858" s="3"/>
      <c r="B858" s="3"/>
      <c r="C858" s="3"/>
      <c r="D858" s="3"/>
      <c r="E858" s="3"/>
      <c r="F858" s="3"/>
    </row>
    <row r="859" spans="1:6" ht="15.75" customHeight="1">
      <c r="A859" s="3"/>
      <c r="B859" s="3"/>
      <c r="C859" s="3"/>
      <c r="D859" s="3"/>
      <c r="E859" s="3"/>
      <c r="F859" s="3"/>
    </row>
    <row r="860" spans="1:6" ht="15.75" customHeight="1">
      <c r="A860" s="3"/>
      <c r="B860" s="3"/>
      <c r="C860" s="3"/>
      <c r="D860" s="3"/>
      <c r="E860" s="3"/>
      <c r="F860" s="3"/>
    </row>
    <row r="861" spans="1:6" ht="15.75" customHeight="1">
      <c r="A861" s="3"/>
      <c r="B861" s="3"/>
      <c r="C861" s="3"/>
      <c r="D861" s="3"/>
      <c r="E861" s="3"/>
      <c r="F861" s="3"/>
    </row>
    <row r="862" spans="1:6" ht="15.75" customHeight="1">
      <c r="A862" s="3"/>
      <c r="B862" s="3"/>
      <c r="C862" s="3"/>
      <c r="D862" s="3"/>
      <c r="E862" s="3"/>
      <c r="F862" s="3"/>
    </row>
    <row r="863" spans="1:6" ht="15.75" customHeight="1">
      <c r="A863" s="3"/>
      <c r="B863" s="3"/>
      <c r="C863" s="3"/>
      <c r="D863" s="3"/>
      <c r="E863" s="3"/>
      <c r="F863" s="3"/>
    </row>
    <row r="864" spans="1:6" ht="15.75" customHeight="1">
      <c r="A864" s="3"/>
      <c r="B864" s="3"/>
      <c r="C864" s="3"/>
      <c r="D864" s="3"/>
      <c r="E864" s="3"/>
      <c r="F864" s="3"/>
    </row>
    <row r="865" spans="1:6" ht="15.75" customHeight="1">
      <c r="A865" s="3"/>
      <c r="B865" s="3"/>
      <c r="C865" s="3"/>
      <c r="D865" s="3"/>
      <c r="E865" s="3"/>
      <c r="F865" s="3"/>
    </row>
    <row r="866" spans="1:6" ht="15.75" customHeight="1">
      <c r="A866" s="3"/>
      <c r="B866" s="3"/>
      <c r="C866" s="3"/>
      <c r="D866" s="3"/>
      <c r="E866" s="3"/>
      <c r="F866" s="3"/>
    </row>
    <row r="867" spans="1:6" ht="15.75" customHeight="1">
      <c r="A867" s="3"/>
      <c r="B867" s="3"/>
      <c r="C867" s="3"/>
      <c r="D867" s="3"/>
      <c r="E867" s="3"/>
      <c r="F867" s="3"/>
    </row>
    <row r="868" spans="1:6" ht="15.75" customHeight="1">
      <c r="A868" s="3"/>
      <c r="B868" s="3"/>
      <c r="C868" s="3"/>
      <c r="D868" s="3"/>
      <c r="E868" s="3"/>
      <c r="F868" s="3"/>
    </row>
    <row r="869" spans="1:6" ht="15.75" customHeight="1">
      <c r="A869" s="3"/>
      <c r="B869" s="3"/>
      <c r="C869" s="3"/>
      <c r="D869" s="3"/>
      <c r="E869" s="3"/>
      <c r="F869" s="3"/>
    </row>
    <row r="870" spans="1:6" ht="15.75" customHeight="1">
      <c r="A870" s="3"/>
      <c r="B870" s="3"/>
      <c r="C870" s="3"/>
      <c r="D870" s="3"/>
      <c r="E870" s="3"/>
      <c r="F870" s="3"/>
    </row>
    <row r="871" spans="1:6" ht="15.75" customHeight="1">
      <c r="A871" s="3"/>
      <c r="B871" s="3"/>
      <c r="C871" s="3"/>
      <c r="D871" s="3"/>
      <c r="E871" s="3"/>
      <c r="F871" s="3"/>
    </row>
    <row r="872" spans="1:6" ht="15.75" customHeight="1">
      <c r="A872" s="3"/>
      <c r="B872" s="3"/>
      <c r="C872" s="3"/>
      <c r="D872" s="3"/>
      <c r="E872" s="3"/>
      <c r="F872" s="3"/>
    </row>
    <row r="873" spans="1:6" ht="15.75" customHeight="1">
      <c r="A873" s="3"/>
      <c r="B873" s="3"/>
      <c r="C873" s="3"/>
      <c r="D873" s="3"/>
      <c r="E873" s="3"/>
      <c r="F873" s="3"/>
    </row>
    <row r="874" spans="1:6" ht="15.75" customHeight="1">
      <c r="A874" s="3"/>
      <c r="B874" s="3"/>
      <c r="C874" s="3"/>
      <c r="D874" s="3"/>
      <c r="E874" s="3"/>
      <c r="F874" s="3"/>
    </row>
    <row r="875" spans="1:6" ht="15.75" customHeight="1">
      <c r="A875" s="3"/>
      <c r="B875" s="3"/>
      <c r="C875" s="3"/>
      <c r="D875" s="3"/>
      <c r="E875" s="3"/>
      <c r="F875" s="3"/>
    </row>
    <row r="876" spans="1:6" ht="15.75" customHeight="1">
      <c r="A876" s="3"/>
      <c r="B876" s="3"/>
      <c r="C876" s="3"/>
      <c r="D876" s="3"/>
      <c r="E876" s="3"/>
      <c r="F876" s="3"/>
    </row>
    <row r="877" spans="1:6" ht="15.75" customHeight="1">
      <c r="A877" s="3"/>
      <c r="B877" s="3"/>
      <c r="C877" s="3"/>
      <c r="D877" s="3"/>
      <c r="E877" s="3"/>
      <c r="F877" s="3"/>
    </row>
    <row r="878" spans="1:6" ht="15.75" customHeight="1">
      <c r="A878" s="3"/>
      <c r="B878" s="3"/>
      <c r="C878" s="3"/>
      <c r="D878" s="3"/>
      <c r="E878" s="3"/>
      <c r="F878" s="3"/>
    </row>
    <row r="879" spans="1:6" ht="15.75" customHeight="1">
      <c r="A879" s="3"/>
      <c r="B879" s="3"/>
      <c r="C879" s="3"/>
      <c r="D879" s="3"/>
      <c r="E879" s="3"/>
      <c r="F879" s="3"/>
    </row>
    <row r="880" spans="1:6" ht="15.75" customHeight="1">
      <c r="A880" s="3"/>
      <c r="B880" s="3"/>
      <c r="C880" s="3"/>
      <c r="D880" s="3"/>
      <c r="E880" s="3"/>
      <c r="F880" s="3"/>
    </row>
    <row r="881" spans="1:6" ht="15.75" customHeight="1">
      <c r="A881" s="3"/>
      <c r="B881" s="3"/>
      <c r="C881" s="3"/>
      <c r="D881" s="3"/>
      <c r="E881" s="3"/>
      <c r="F881" s="3"/>
    </row>
    <row r="882" spans="1:6" ht="15.75" customHeight="1">
      <c r="A882" s="3"/>
      <c r="B882" s="3"/>
      <c r="C882" s="3"/>
      <c r="D882" s="3"/>
      <c r="E882" s="3"/>
      <c r="F882" s="3"/>
    </row>
    <row r="883" spans="1:6" ht="15.75" customHeight="1">
      <c r="A883" s="3"/>
      <c r="B883" s="3"/>
      <c r="C883" s="3"/>
      <c r="D883" s="3"/>
      <c r="E883" s="3"/>
      <c r="F883" s="3"/>
    </row>
    <row r="884" spans="1:6" ht="15.75" customHeight="1">
      <c r="A884" s="3"/>
      <c r="B884" s="3"/>
      <c r="C884" s="3"/>
      <c r="D884" s="3"/>
      <c r="E884" s="3"/>
      <c r="F884" s="3"/>
    </row>
    <row r="885" spans="1:6" ht="15.75" customHeight="1">
      <c r="A885" s="3"/>
      <c r="B885" s="3"/>
      <c r="C885" s="3"/>
      <c r="D885" s="3"/>
      <c r="E885" s="3"/>
      <c r="F885" s="3"/>
    </row>
    <row r="886" spans="1:6" ht="15.75" customHeight="1">
      <c r="A886" s="3"/>
      <c r="B886" s="3"/>
      <c r="C886" s="3"/>
      <c r="D886" s="3"/>
      <c r="E886" s="3"/>
      <c r="F886" s="3"/>
    </row>
    <row r="887" spans="1:6" ht="15.75" customHeight="1">
      <c r="A887" s="3"/>
      <c r="B887" s="3"/>
      <c r="C887" s="3"/>
      <c r="D887" s="3"/>
      <c r="E887" s="3"/>
      <c r="F887" s="3"/>
    </row>
    <row r="888" spans="1:6" ht="15.75" customHeight="1">
      <c r="A888" s="3"/>
      <c r="B888" s="3"/>
      <c r="C888" s="3"/>
      <c r="D888" s="3"/>
      <c r="E888" s="3"/>
      <c r="F888" s="3"/>
    </row>
    <row r="889" spans="1:6" ht="15.75" customHeight="1">
      <c r="A889" s="3"/>
      <c r="B889" s="3"/>
      <c r="C889" s="3"/>
      <c r="D889" s="3"/>
      <c r="E889" s="3"/>
      <c r="F889" s="3"/>
    </row>
    <row r="890" spans="1:6" ht="15.75" customHeight="1">
      <c r="A890" s="3"/>
      <c r="B890" s="3"/>
      <c r="C890" s="3"/>
      <c r="D890" s="3"/>
      <c r="E890" s="3"/>
      <c r="F890" s="3"/>
    </row>
    <row r="891" spans="1:6" ht="15.75" customHeight="1">
      <c r="A891" s="3"/>
      <c r="B891" s="3"/>
      <c r="C891" s="3"/>
      <c r="D891" s="3"/>
      <c r="E891" s="3"/>
      <c r="F891" s="3"/>
    </row>
    <row r="892" spans="1:6" ht="15.75" customHeight="1">
      <c r="A892" s="3"/>
      <c r="B892" s="3"/>
      <c r="C892" s="3"/>
      <c r="D892" s="3"/>
      <c r="E892" s="3"/>
      <c r="F892" s="3"/>
    </row>
    <row r="893" spans="1:6" ht="15.75" customHeight="1">
      <c r="A893" s="3"/>
      <c r="B893" s="3"/>
      <c r="C893" s="3"/>
      <c r="D893" s="3"/>
      <c r="E893" s="3"/>
      <c r="F893" s="3"/>
    </row>
    <row r="894" spans="1:6" ht="15.75" customHeight="1">
      <c r="A894" s="3"/>
      <c r="B894" s="3"/>
      <c r="C894" s="3"/>
      <c r="D894" s="3"/>
      <c r="E894" s="3"/>
      <c r="F894" s="3"/>
    </row>
    <row r="895" spans="1:6" ht="15.75" customHeight="1">
      <c r="A895" s="3"/>
      <c r="B895" s="3"/>
      <c r="C895" s="3"/>
      <c r="D895" s="3"/>
      <c r="E895" s="3"/>
      <c r="F895" s="3"/>
    </row>
    <row r="896" spans="1:6" ht="15.75" customHeight="1">
      <c r="A896" s="3"/>
      <c r="B896" s="3"/>
      <c r="C896" s="3"/>
      <c r="D896" s="3"/>
      <c r="E896" s="3"/>
      <c r="F896" s="3"/>
    </row>
    <row r="897" spans="1:6" ht="15.75" customHeight="1">
      <c r="A897" s="3"/>
      <c r="B897" s="3"/>
      <c r="C897" s="3"/>
      <c r="D897" s="3"/>
      <c r="E897" s="3"/>
      <c r="F897" s="3"/>
    </row>
    <row r="898" spans="1:6" ht="15.75" customHeight="1">
      <c r="A898" s="3"/>
      <c r="B898" s="3"/>
      <c r="C898" s="3"/>
      <c r="D898" s="3"/>
      <c r="E898" s="3"/>
      <c r="F898" s="3"/>
    </row>
    <row r="899" spans="1:6" ht="15.75" customHeight="1">
      <c r="A899" s="3"/>
      <c r="B899" s="3"/>
      <c r="C899" s="3"/>
      <c r="D899" s="3"/>
      <c r="E899" s="3"/>
      <c r="F899" s="3"/>
    </row>
    <row r="900" spans="1:6" ht="15.75" customHeight="1">
      <c r="A900" s="3"/>
      <c r="B900" s="3"/>
      <c r="C900" s="3"/>
      <c r="D900" s="3"/>
      <c r="E900" s="3"/>
      <c r="F900" s="3"/>
    </row>
    <row r="901" spans="1:6" ht="15.75" customHeight="1">
      <c r="A901" s="3"/>
      <c r="B901" s="3"/>
      <c r="C901" s="3"/>
      <c r="D901" s="3"/>
      <c r="E901" s="3"/>
      <c r="F901" s="3"/>
    </row>
    <row r="902" spans="1:6" ht="15.75" customHeight="1">
      <c r="A902" s="3"/>
      <c r="B902" s="3"/>
      <c r="C902" s="3"/>
      <c r="D902" s="3"/>
      <c r="E902" s="3"/>
      <c r="F902" s="3"/>
    </row>
    <row r="903" spans="1:6" ht="15.75" customHeight="1">
      <c r="A903" s="3"/>
      <c r="B903" s="3"/>
      <c r="C903" s="3"/>
      <c r="D903" s="3"/>
      <c r="E903" s="3"/>
      <c r="F903" s="3"/>
    </row>
    <row r="904" spans="1:6" ht="15.75" customHeight="1">
      <c r="A904" s="3"/>
      <c r="B904" s="3"/>
      <c r="C904" s="3"/>
      <c r="D904" s="3"/>
      <c r="E904" s="3"/>
      <c r="F904" s="3"/>
    </row>
    <row r="905" spans="1:6" ht="15.75" customHeight="1">
      <c r="A905" s="3"/>
      <c r="B905" s="3"/>
      <c r="C905" s="3"/>
      <c r="D905" s="3"/>
      <c r="E905" s="3"/>
      <c r="F905" s="3"/>
    </row>
    <row r="906" spans="1:6" ht="15.75" customHeight="1">
      <c r="A906" s="3"/>
      <c r="B906" s="3"/>
      <c r="C906" s="3"/>
      <c r="D906" s="3"/>
      <c r="E906" s="3"/>
      <c r="F906" s="3"/>
    </row>
    <row r="907" spans="1:6" ht="15.75" customHeight="1">
      <c r="A907" s="3"/>
      <c r="B907" s="3"/>
      <c r="C907" s="3"/>
      <c r="D907" s="3"/>
      <c r="E907" s="3"/>
      <c r="F907" s="3"/>
    </row>
    <row r="908" spans="1:6" ht="15.75" customHeight="1">
      <c r="A908" s="3"/>
      <c r="B908" s="3"/>
      <c r="C908" s="3"/>
      <c r="D908" s="3"/>
      <c r="E908" s="3"/>
      <c r="F908" s="3"/>
    </row>
    <row r="909" spans="1:6" ht="15.75" customHeight="1">
      <c r="A909" s="3"/>
      <c r="B909" s="3"/>
      <c r="C909" s="3"/>
      <c r="D909" s="3"/>
      <c r="E909" s="3"/>
      <c r="F909" s="3"/>
    </row>
    <row r="910" spans="1:6" ht="15.75" customHeight="1">
      <c r="A910" s="3"/>
      <c r="B910" s="3"/>
      <c r="C910" s="3"/>
      <c r="D910" s="3"/>
      <c r="E910" s="3"/>
      <c r="F910" s="3"/>
    </row>
    <row r="911" spans="1:6" ht="15.75" customHeight="1">
      <c r="A911" s="3"/>
      <c r="B911" s="3"/>
      <c r="C911" s="3"/>
      <c r="D911" s="3"/>
      <c r="E911" s="3"/>
      <c r="F911" s="3"/>
    </row>
    <row r="912" spans="1:6" ht="15.75" customHeight="1">
      <c r="A912" s="3"/>
      <c r="B912" s="3"/>
      <c r="C912" s="3"/>
      <c r="D912" s="3"/>
      <c r="E912" s="3"/>
      <c r="F912" s="3"/>
    </row>
    <row r="913" spans="1:6" ht="15.75" customHeight="1">
      <c r="A913" s="3"/>
      <c r="B913" s="3"/>
      <c r="C913" s="3"/>
      <c r="D913" s="3"/>
      <c r="E913" s="3"/>
      <c r="F913" s="3"/>
    </row>
    <row r="914" spans="1:6" ht="15.75" customHeight="1">
      <c r="A914" s="3"/>
      <c r="B914" s="3"/>
      <c r="C914" s="3"/>
      <c r="D914" s="3"/>
      <c r="E914" s="3"/>
      <c r="F914" s="3"/>
    </row>
    <row r="915" spans="1:6" ht="15.75" customHeight="1">
      <c r="A915" s="3"/>
      <c r="B915" s="3"/>
      <c r="C915" s="3"/>
      <c r="D915" s="3"/>
      <c r="E915" s="3"/>
      <c r="F915" s="3"/>
    </row>
    <row r="916" spans="1:6" ht="15.75" customHeight="1">
      <c r="A916" s="3"/>
      <c r="B916" s="3"/>
      <c r="C916" s="3"/>
      <c r="D916" s="3"/>
      <c r="E916" s="3"/>
      <c r="F916" s="3"/>
    </row>
    <row r="917" spans="1:6" ht="15.75" customHeight="1">
      <c r="A917" s="3"/>
      <c r="B917" s="3"/>
      <c r="C917" s="3"/>
      <c r="D917" s="3"/>
      <c r="E917" s="3"/>
      <c r="F917" s="3"/>
    </row>
    <row r="918" spans="1:6" ht="15.75" customHeight="1">
      <c r="A918" s="3"/>
      <c r="B918" s="3"/>
      <c r="C918" s="3"/>
      <c r="D918" s="3"/>
      <c r="E918" s="3"/>
      <c r="F918" s="3"/>
    </row>
    <row r="919" spans="1:6" ht="15.75" customHeight="1">
      <c r="A919" s="3"/>
      <c r="B919" s="3"/>
      <c r="C919" s="3"/>
      <c r="D919" s="3"/>
      <c r="E919" s="3"/>
      <c r="F919" s="3"/>
    </row>
    <row r="920" spans="1:6" ht="15.75" customHeight="1">
      <c r="A920" s="3"/>
      <c r="B920" s="3"/>
      <c r="C920" s="3"/>
      <c r="D920" s="3"/>
      <c r="E920" s="3"/>
      <c r="F920" s="3"/>
    </row>
    <row r="921" spans="1:6" ht="15.75" customHeight="1">
      <c r="A921" s="3"/>
      <c r="B921" s="3"/>
      <c r="C921" s="3"/>
      <c r="D921" s="3"/>
      <c r="E921" s="3"/>
      <c r="F921" s="3"/>
    </row>
    <row r="922" spans="1:6" ht="15.75" customHeight="1">
      <c r="A922" s="3"/>
      <c r="B922" s="3"/>
      <c r="C922" s="3"/>
      <c r="D922" s="3"/>
      <c r="E922" s="3"/>
      <c r="F922" s="3"/>
    </row>
    <row r="923" spans="1:6" ht="15.75" customHeight="1">
      <c r="A923" s="3"/>
      <c r="B923" s="3"/>
      <c r="C923" s="3"/>
      <c r="D923" s="3"/>
      <c r="E923" s="3"/>
      <c r="F923" s="3"/>
    </row>
    <row r="924" spans="1:6" ht="15.75" customHeight="1">
      <c r="A924" s="3"/>
      <c r="B924" s="3"/>
      <c r="C924" s="3"/>
      <c r="D924" s="3"/>
      <c r="E924" s="3"/>
      <c r="F924" s="3"/>
    </row>
    <row r="925" spans="1:6" ht="15.75" customHeight="1">
      <c r="A925" s="3"/>
      <c r="B925" s="3"/>
      <c r="C925" s="3"/>
      <c r="D925" s="3"/>
      <c r="E925" s="3"/>
      <c r="F925" s="3"/>
    </row>
    <row r="926" spans="1:6" ht="15.75" customHeight="1">
      <c r="A926" s="3"/>
      <c r="B926" s="3"/>
      <c r="C926" s="3"/>
      <c r="D926" s="3"/>
      <c r="E926" s="3"/>
      <c r="F926" s="3"/>
    </row>
    <row r="927" spans="1:6" ht="15.75" customHeight="1">
      <c r="A927" s="3"/>
      <c r="B927" s="3"/>
      <c r="C927" s="3"/>
      <c r="D927" s="3"/>
      <c r="E927" s="3"/>
      <c r="F927" s="3"/>
    </row>
    <row r="928" spans="1:6" ht="15.75" customHeight="1">
      <c r="A928" s="3"/>
      <c r="B928" s="3"/>
      <c r="C928" s="3"/>
      <c r="D928" s="3"/>
      <c r="E928" s="3"/>
      <c r="F928" s="3"/>
    </row>
    <row r="929" spans="1:6" ht="15.75" customHeight="1">
      <c r="A929" s="3"/>
      <c r="B929" s="3"/>
      <c r="C929" s="3"/>
      <c r="D929" s="3"/>
      <c r="E929" s="3"/>
      <c r="F929" s="3"/>
    </row>
    <row r="930" spans="1:6" ht="15.75" customHeight="1">
      <c r="A930" s="3"/>
      <c r="B930" s="3"/>
      <c r="C930" s="3"/>
      <c r="D930" s="3"/>
      <c r="E930" s="3"/>
      <c r="F930" s="3"/>
    </row>
    <row r="931" spans="1:6" ht="15.75" customHeight="1">
      <c r="A931" s="3"/>
      <c r="B931" s="3"/>
      <c r="C931" s="3"/>
      <c r="D931" s="3"/>
      <c r="E931" s="3"/>
      <c r="F931" s="3"/>
    </row>
    <row r="932" spans="1:6" ht="15.75" customHeight="1">
      <c r="A932" s="3"/>
      <c r="B932" s="3"/>
      <c r="C932" s="3"/>
      <c r="D932" s="3"/>
      <c r="E932" s="3"/>
      <c r="F932" s="3"/>
    </row>
    <row r="933" spans="1:6" ht="15.75" customHeight="1">
      <c r="A933" s="3"/>
      <c r="B933" s="3"/>
      <c r="C933" s="3"/>
      <c r="D933" s="3"/>
      <c r="E933" s="3"/>
      <c r="F933" s="3"/>
    </row>
    <row r="934" spans="1:6" ht="15.75" customHeight="1">
      <c r="A934" s="3"/>
      <c r="B934" s="3"/>
      <c r="C934" s="3"/>
      <c r="D934" s="3"/>
      <c r="E934" s="3"/>
      <c r="F934" s="3"/>
    </row>
    <row r="935" spans="1:6" ht="15.75" customHeight="1">
      <c r="A935" s="3"/>
      <c r="B935" s="3"/>
      <c r="C935" s="3"/>
      <c r="D935" s="3"/>
      <c r="E935" s="3"/>
      <c r="F935" s="3"/>
    </row>
    <row r="936" spans="1:6" ht="15.75" customHeight="1">
      <c r="A936" s="3"/>
      <c r="B936" s="3"/>
      <c r="C936" s="3"/>
      <c r="D936" s="3"/>
      <c r="E936" s="3"/>
      <c r="F936" s="3"/>
    </row>
    <row r="937" spans="1:6" ht="15.75" customHeight="1">
      <c r="A937" s="3"/>
      <c r="B937" s="3"/>
      <c r="C937" s="3"/>
      <c r="D937" s="3"/>
      <c r="E937" s="3"/>
      <c r="F937" s="3"/>
    </row>
    <row r="938" spans="1:6" ht="15.75" customHeight="1">
      <c r="A938" s="3"/>
      <c r="B938" s="3"/>
      <c r="C938" s="3"/>
      <c r="D938" s="3"/>
      <c r="E938" s="3"/>
      <c r="F938" s="3"/>
    </row>
    <row r="939" spans="1:6" ht="15.75" customHeight="1">
      <c r="A939" s="3"/>
      <c r="B939" s="3"/>
      <c r="C939" s="3"/>
      <c r="D939" s="3"/>
      <c r="E939" s="3"/>
      <c r="F939" s="3"/>
    </row>
    <row r="940" spans="1:6" ht="15.75" customHeight="1">
      <c r="A940" s="3"/>
      <c r="B940" s="3"/>
      <c r="C940" s="3"/>
      <c r="D940" s="3"/>
      <c r="E940" s="3"/>
      <c r="F940" s="3"/>
    </row>
    <row r="941" spans="1:6" ht="15.75" customHeight="1">
      <c r="A941" s="3"/>
      <c r="B941" s="3"/>
      <c r="C941" s="3"/>
      <c r="D941" s="3"/>
      <c r="E941" s="3"/>
      <c r="F941" s="3"/>
    </row>
    <row r="942" spans="1:6" ht="15.75" customHeight="1">
      <c r="A942" s="3"/>
      <c r="B942" s="3"/>
      <c r="C942" s="3"/>
      <c r="D942" s="3"/>
      <c r="E942" s="3"/>
      <c r="F942" s="3"/>
    </row>
    <row r="943" spans="1:6" ht="15.75" customHeight="1">
      <c r="A943" s="3"/>
      <c r="B943" s="3"/>
      <c r="C943" s="3"/>
      <c r="D943" s="3"/>
      <c r="E943" s="3"/>
      <c r="F943" s="3"/>
    </row>
    <row r="944" spans="1:6" ht="15.75" customHeight="1">
      <c r="A944" s="3"/>
      <c r="B944" s="3"/>
      <c r="C944" s="3"/>
      <c r="D944" s="3"/>
      <c r="E944" s="3"/>
      <c r="F944" s="3"/>
    </row>
    <row r="945" spans="1:6" ht="15.75" customHeight="1">
      <c r="A945" s="3"/>
      <c r="B945" s="3"/>
      <c r="C945" s="3"/>
      <c r="D945" s="3"/>
      <c r="E945" s="3"/>
      <c r="F945" s="3"/>
    </row>
    <row r="946" spans="1:6" ht="15.75" customHeight="1">
      <c r="A946" s="3"/>
      <c r="B946" s="3"/>
      <c r="C946" s="3"/>
      <c r="D946" s="3"/>
      <c r="E946" s="3"/>
      <c r="F946" s="3"/>
    </row>
    <row r="947" spans="1:6" ht="15.75" customHeight="1">
      <c r="A947" s="3"/>
      <c r="B947" s="3"/>
      <c r="C947" s="3"/>
      <c r="D947" s="3"/>
      <c r="E947" s="3"/>
      <c r="F947" s="3"/>
    </row>
    <row r="948" spans="1:6" ht="15.75" customHeight="1">
      <c r="A948" s="3"/>
      <c r="B948" s="3"/>
      <c r="C948" s="3"/>
      <c r="D948" s="3"/>
      <c r="E948" s="3"/>
      <c r="F948" s="3"/>
    </row>
    <row r="949" spans="1:6" ht="15.75" customHeight="1">
      <c r="A949" s="3"/>
      <c r="B949" s="3"/>
      <c r="C949" s="3"/>
      <c r="D949" s="3"/>
      <c r="E949" s="3"/>
      <c r="F949" s="3"/>
    </row>
    <row r="950" spans="1:6" ht="15.75" customHeight="1">
      <c r="A950" s="3"/>
      <c r="B950" s="3"/>
      <c r="C950" s="3"/>
      <c r="D950" s="3"/>
      <c r="E950" s="3"/>
      <c r="F950" s="3"/>
    </row>
    <row r="951" spans="1:6" ht="15.75" customHeight="1">
      <c r="A951" s="3"/>
      <c r="B951" s="3"/>
      <c r="C951" s="3"/>
      <c r="D951" s="3"/>
      <c r="E951" s="3"/>
      <c r="F951" s="3"/>
    </row>
    <row r="952" spans="1:6" ht="15.75" customHeight="1">
      <c r="A952" s="3"/>
      <c r="B952" s="3"/>
      <c r="C952" s="3"/>
      <c r="D952" s="3"/>
      <c r="E952" s="3"/>
      <c r="F952" s="3"/>
    </row>
    <row r="953" spans="1:6" ht="15.75" customHeight="1">
      <c r="A953" s="3"/>
      <c r="B953" s="3"/>
      <c r="C953" s="3"/>
      <c r="D953" s="3"/>
      <c r="E953" s="3"/>
      <c r="F953" s="3"/>
    </row>
    <row r="954" spans="1:6" ht="15.75" customHeight="1">
      <c r="A954" s="3"/>
      <c r="B954" s="3"/>
      <c r="C954" s="3"/>
      <c r="D954" s="3"/>
      <c r="E954" s="3"/>
      <c r="F954" s="3"/>
    </row>
    <row r="955" spans="1:6" ht="15.75" customHeight="1">
      <c r="A955" s="3"/>
      <c r="B955" s="3"/>
      <c r="C955" s="3"/>
      <c r="D955" s="3"/>
      <c r="E955" s="3"/>
      <c r="F955" s="3"/>
    </row>
    <row r="956" spans="1:6" ht="15.75" customHeight="1">
      <c r="A956" s="3"/>
      <c r="B956" s="3"/>
      <c r="C956" s="3"/>
      <c r="D956" s="3"/>
      <c r="E956" s="3"/>
      <c r="F956" s="3"/>
    </row>
    <row r="957" spans="1:6" ht="15.75" customHeight="1">
      <c r="A957" s="3"/>
      <c r="B957" s="3"/>
      <c r="C957" s="3"/>
      <c r="D957" s="3"/>
      <c r="E957" s="3"/>
      <c r="F957" s="3"/>
    </row>
    <row r="958" spans="1:6" ht="15.75" customHeight="1">
      <c r="A958" s="3"/>
      <c r="B958" s="3"/>
      <c r="C958" s="3"/>
      <c r="D958" s="3"/>
      <c r="E958" s="3"/>
      <c r="F958" s="3"/>
    </row>
    <row r="959" spans="1:6" ht="15.75" customHeight="1">
      <c r="A959" s="3"/>
      <c r="B959" s="3"/>
      <c r="C959" s="3"/>
      <c r="D959" s="3"/>
      <c r="E959" s="3"/>
      <c r="F959" s="3"/>
    </row>
    <row r="960" spans="1:6" ht="15.75" customHeight="1">
      <c r="A960" s="3"/>
      <c r="B960" s="3"/>
      <c r="C960" s="3"/>
      <c r="D960" s="3"/>
      <c r="E960" s="3"/>
      <c r="F960" s="3"/>
    </row>
    <row r="961" spans="1:6" ht="15.75" customHeight="1">
      <c r="A961" s="3"/>
      <c r="B961" s="3"/>
      <c r="C961" s="3"/>
      <c r="D961" s="3"/>
      <c r="E961" s="3"/>
      <c r="F961" s="3"/>
    </row>
    <row r="962" spans="1:6" ht="15.75" customHeight="1">
      <c r="A962" s="3"/>
      <c r="B962" s="3"/>
      <c r="C962" s="3"/>
      <c r="D962" s="3"/>
      <c r="E962" s="3"/>
      <c r="F962" s="3"/>
    </row>
    <row r="963" spans="1:6" ht="15.75" customHeight="1">
      <c r="A963" s="3"/>
      <c r="B963" s="3"/>
      <c r="C963" s="3"/>
      <c r="D963" s="3"/>
      <c r="E963" s="3"/>
      <c r="F963" s="3"/>
    </row>
    <row r="964" spans="1:6" ht="15.75" customHeight="1">
      <c r="A964" s="3"/>
      <c r="B964" s="3"/>
      <c r="C964" s="3"/>
      <c r="D964" s="3"/>
      <c r="E964" s="3"/>
      <c r="F964" s="3"/>
    </row>
    <row r="965" spans="1:6" ht="15.75" customHeight="1">
      <c r="A965" s="3"/>
      <c r="B965" s="3"/>
      <c r="C965" s="3"/>
      <c r="D965" s="3"/>
      <c r="E965" s="3"/>
      <c r="F965" s="3"/>
    </row>
    <row r="966" spans="1:6" ht="15.75" customHeight="1">
      <c r="A966" s="3"/>
      <c r="B966" s="3"/>
      <c r="C966" s="3"/>
      <c r="D966" s="3"/>
      <c r="E966" s="3"/>
      <c r="F966" s="3"/>
    </row>
    <row r="967" spans="1:6" ht="15.75" customHeight="1">
      <c r="A967" s="3"/>
      <c r="B967" s="3"/>
      <c r="C967" s="3"/>
      <c r="D967" s="3"/>
      <c r="E967" s="3"/>
      <c r="F967" s="3"/>
    </row>
    <row r="968" spans="1:6" ht="15.75" customHeight="1">
      <c r="A968" s="3"/>
      <c r="B968" s="3"/>
      <c r="C968" s="3"/>
      <c r="D968" s="3"/>
      <c r="E968" s="3"/>
      <c r="F968" s="3"/>
    </row>
    <row r="969" spans="1:6" ht="15.75" customHeight="1">
      <c r="A969" s="3"/>
      <c r="B969" s="3"/>
      <c r="C969" s="3"/>
      <c r="D969" s="3"/>
      <c r="E969" s="3"/>
      <c r="F969" s="3"/>
    </row>
    <row r="970" spans="1:6" ht="15.75" customHeight="1">
      <c r="A970" s="3"/>
      <c r="B970" s="3"/>
      <c r="C970" s="3"/>
      <c r="D970" s="3"/>
      <c r="E970" s="3"/>
      <c r="F970" s="3"/>
    </row>
    <row r="971" spans="1:6" ht="15.75" customHeight="1">
      <c r="A971" s="3"/>
      <c r="B971" s="3"/>
      <c r="C971" s="3"/>
      <c r="D971" s="3"/>
      <c r="E971" s="3"/>
      <c r="F971" s="3"/>
    </row>
    <row r="972" spans="1:6" ht="15.75" customHeight="1">
      <c r="A972" s="3"/>
      <c r="B972" s="3"/>
      <c r="C972" s="3"/>
      <c r="D972" s="3"/>
      <c r="E972" s="3"/>
      <c r="F972" s="3"/>
    </row>
    <row r="973" spans="1:6" ht="15.75" customHeight="1">
      <c r="A973" s="3"/>
      <c r="B973" s="3"/>
      <c r="C973" s="3"/>
      <c r="D973" s="3"/>
      <c r="E973" s="3"/>
      <c r="F973" s="3"/>
    </row>
    <row r="974" spans="1:6" ht="15.75" customHeight="1">
      <c r="A974" s="3"/>
      <c r="B974" s="3"/>
      <c r="C974" s="3"/>
      <c r="D974" s="3"/>
      <c r="E974" s="3"/>
      <c r="F974" s="3"/>
    </row>
    <row r="975" spans="1:6" ht="15.75" customHeight="1">
      <c r="A975" s="3"/>
      <c r="B975" s="3"/>
      <c r="C975" s="3"/>
      <c r="D975" s="3"/>
      <c r="E975" s="3"/>
      <c r="F975" s="3"/>
    </row>
    <row r="976" spans="1:6" ht="15.75" customHeight="1">
      <c r="A976" s="3"/>
      <c r="B976" s="3"/>
      <c r="C976" s="3"/>
      <c r="D976" s="3"/>
      <c r="E976" s="3"/>
      <c r="F976" s="3"/>
    </row>
    <row r="977" spans="1:6" ht="15.75" customHeight="1">
      <c r="A977" s="3"/>
      <c r="B977" s="3"/>
      <c r="C977" s="3"/>
      <c r="D977" s="3"/>
      <c r="E977" s="3"/>
      <c r="F977" s="3"/>
    </row>
    <row r="978" spans="1:6" ht="15.75" customHeight="1">
      <c r="A978" s="3"/>
      <c r="B978" s="3"/>
      <c r="C978" s="3"/>
      <c r="D978" s="3"/>
      <c r="E978" s="3"/>
      <c r="F978" s="3"/>
    </row>
    <row r="979" spans="1:6" ht="15.75" customHeight="1">
      <c r="A979" s="3"/>
      <c r="B979" s="3"/>
      <c r="C979" s="3"/>
      <c r="D979" s="3"/>
      <c r="E979" s="3"/>
      <c r="F979" s="3"/>
    </row>
    <row r="980" spans="1:6" ht="15.75" customHeight="1">
      <c r="A980" s="3"/>
      <c r="B980" s="3"/>
      <c r="C980" s="3"/>
      <c r="D980" s="3"/>
      <c r="E980" s="3"/>
      <c r="F980" s="3"/>
    </row>
    <row r="981" spans="1:6" ht="15.75" customHeight="1">
      <c r="A981" s="3"/>
      <c r="B981" s="3"/>
      <c r="C981" s="3"/>
      <c r="D981" s="3"/>
      <c r="E981" s="3"/>
      <c r="F981" s="3"/>
    </row>
    <row r="982" spans="1:6" ht="15.75" customHeight="1">
      <c r="A982" s="3"/>
      <c r="B982" s="3"/>
      <c r="C982" s="3"/>
      <c r="D982" s="3"/>
      <c r="E982" s="3"/>
      <c r="F982" s="3"/>
    </row>
    <row r="983" spans="1:6" ht="15.75" customHeight="1">
      <c r="A983" s="3"/>
      <c r="B983" s="3"/>
      <c r="C983" s="3"/>
      <c r="D983" s="3"/>
      <c r="E983" s="3"/>
      <c r="F983" s="3"/>
    </row>
    <row r="984" spans="1:6" ht="15.75" customHeight="1">
      <c r="A984" s="3"/>
      <c r="B984" s="3"/>
      <c r="C984" s="3"/>
      <c r="D984" s="3"/>
      <c r="E984" s="3"/>
      <c r="F984" s="3"/>
    </row>
    <row r="985" spans="1:6" ht="15.75" customHeight="1">
      <c r="A985" s="3"/>
      <c r="B985" s="3"/>
      <c r="C985" s="3"/>
      <c r="D985" s="3"/>
      <c r="E985" s="3"/>
      <c r="F985" s="3"/>
    </row>
    <row r="986" spans="1:6" ht="15.75" customHeight="1">
      <c r="A986" s="3"/>
      <c r="B986" s="3"/>
      <c r="C986" s="3"/>
      <c r="D986" s="3"/>
      <c r="E986" s="3"/>
      <c r="F986" s="3"/>
    </row>
    <row r="987" spans="1:6" ht="15.75" customHeight="1">
      <c r="A987" s="3"/>
      <c r="B987" s="3"/>
      <c r="C987" s="3"/>
      <c r="D987" s="3"/>
      <c r="E987" s="3"/>
      <c r="F987" s="3"/>
    </row>
    <row r="988" spans="1:6" ht="15.75" customHeight="1">
      <c r="A988" s="3"/>
      <c r="B988" s="3"/>
      <c r="C988" s="3"/>
      <c r="D988" s="3"/>
      <c r="E988" s="3"/>
      <c r="F988" s="3"/>
    </row>
    <row r="989" spans="1:6" ht="15.75" customHeight="1">
      <c r="A989" s="3"/>
      <c r="B989" s="3"/>
      <c r="C989" s="3"/>
      <c r="D989" s="3"/>
      <c r="E989" s="3"/>
      <c r="F989" s="3"/>
    </row>
    <row r="990" spans="1:6" ht="15.75" customHeight="1">
      <c r="A990" s="3"/>
      <c r="B990" s="3"/>
      <c r="C990" s="3"/>
      <c r="D990" s="3"/>
      <c r="E990" s="3"/>
      <c r="F990" s="3"/>
    </row>
    <row r="991" spans="1:6" ht="15.75" customHeight="1">
      <c r="A991" s="3"/>
      <c r="B991" s="3"/>
      <c r="C991" s="3"/>
      <c r="D991" s="3"/>
      <c r="E991" s="3"/>
      <c r="F991" s="3"/>
    </row>
    <row r="992" spans="1:6" ht="15.75" customHeight="1">
      <c r="A992" s="3"/>
      <c r="B992" s="3"/>
      <c r="C992" s="3"/>
      <c r="D992" s="3"/>
      <c r="E992" s="3"/>
      <c r="F992" s="3"/>
    </row>
    <row r="993" spans="1:6" ht="15.75" customHeight="1">
      <c r="A993" s="3"/>
      <c r="B993" s="3"/>
      <c r="C993" s="3"/>
      <c r="D993" s="3"/>
      <c r="E993" s="3"/>
      <c r="F993" s="3"/>
    </row>
    <row r="994" spans="1:6" ht="15.75" customHeight="1">
      <c r="A994" s="3"/>
      <c r="B994" s="3"/>
      <c r="C994" s="3"/>
      <c r="D994" s="3"/>
      <c r="E994" s="3"/>
      <c r="F994" s="3"/>
    </row>
    <row r="995" spans="1:6" ht="15.75" customHeight="1">
      <c r="A995" s="3"/>
      <c r="B995" s="3"/>
      <c r="C995" s="3"/>
      <c r="D995" s="3"/>
      <c r="E995" s="3"/>
      <c r="F995" s="3"/>
    </row>
    <row r="996" spans="1:6" ht="15.75" customHeight="1">
      <c r="A996" s="3"/>
      <c r="B996" s="3"/>
      <c r="C996" s="3"/>
      <c r="D996" s="3"/>
      <c r="E996" s="3"/>
      <c r="F996" s="3"/>
    </row>
    <row r="997" spans="1:6" ht="15.75" customHeight="1">
      <c r="A997" s="3"/>
      <c r="B997" s="3"/>
      <c r="C997" s="3"/>
      <c r="D997" s="3"/>
      <c r="E997" s="3"/>
      <c r="F997" s="3"/>
    </row>
    <row r="998" spans="1:6" ht="15.75" customHeight="1">
      <c r="A998" s="3"/>
      <c r="B998" s="3"/>
      <c r="C998" s="3"/>
      <c r="D998" s="3"/>
      <c r="E998" s="3"/>
      <c r="F998" s="3"/>
    </row>
    <row r="999" spans="1:6" ht="15.75" customHeight="1">
      <c r="A999" s="3"/>
      <c r="B999" s="3"/>
      <c r="C999" s="3"/>
      <c r="D999" s="3"/>
      <c r="E999" s="3"/>
      <c r="F999" s="3"/>
    </row>
    <row r="1000" spans="1:6" ht="15.75" customHeight="1">
      <c r="A1000" s="3"/>
      <c r="B1000" s="3"/>
      <c r="C1000" s="3"/>
      <c r="D1000" s="3"/>
      <c r="E1000" s="3"/>
      <c r="F1000" s="3"/>
    </row>
  </sheetData>
  <mergeCells count="1">
    <mergeCell ref="A1:C1"/>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cols>
    <col min="1" max="1" width="8.28515625" customWidth="1"/>
    <col min="2" max="2" width="13" customWidth="1"/>
    <col min="3" max="3" width="10" customWidth="1"/>
    <col min="4" max="4" width="40.42578125" customWidth="1"/>
    <col min="5" max="5" width="55" customWidth="1"/>
    <col min="6" max="6" width="28" customWidth="1"/>
    <col min="7" max="7" width="22" customWidth="1"/>
    <col min="8" max="8" width="7" customWidth="1"/>
    <col min="9" max="9" width="28" customWidth="1"/>
    <col min="10" max="10" width="36" customWidth="1"/>
    <col min="11" max="11" width="21.42578125" customWidth="1"/>
    <col min="12" max="12" width="22" customWidth="1"/>
    <col min="13" max="13" width="10" customWidth="1"/>
    <col min="14" max="14" width="17" customWidth="1"/>
    <col min="15" max="15" width="36" customWidth="1"/>
    <col min="16" max="16" width="42" customWidth="1"/>
    <col min="17" max="17" width="15" customWidth="1"/>
    <col min="18" max="18" width="58" customWidth="1"/>
    <col min="19" max="26" width="8.7109375" customWidth="1"/>
  </cols>
  <sheetData>
    <row r="1" spans="1:26" ht="3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3"/>
      <c r="T1" s="3"/>
      <c r="U1" s="3"/>
      <c r="V1" s="3"/>
      <c r="W1" s="3"/>
      <c r="X1" s="3"/>
      <c r="Y1" s="3"/>
      <c r="Z1" s="3"/>
    </row>
    <row r="2" spans="1:26" ht="27.75" customHeight="1">
      <c r="A2" s="4">
        <v>1</v>
      </c>
      <c r="B2" s="5" t="s">
        <v>18</v>
      </c>
      <c r="C2" s="4">
        <v>1</v>
      </c>
      <c r="D2" s="6" t="s">
        <v>19</v>
      </c>
      <c r="E2" s="7" t="s">
        <v>20</v>
      </c>
      <c r="F2" s="7" t="s">
        <v>21</v>
      </c>
      <c r="G2" s="7" t="s">
        <v>22</v>
      </c>
      <c r="H2" s="7">
        <v>2020</v>
      </c>
      <c r="I2" s="7" t="s">
        <v>23</v>
      </c>
      <c r="J2" s="7" t="s">
        <v>24</v>
      </c>
      <c r="K2" s="7" t="s">
        <v>25</v>
      </c>
      <c r="L2" s="7" t="s">
        <v>26</v>
      </c>
      <c r="M2" s="7" t="s">
        <v>27</v>
      </c>
      <c r="N2" s="7" t="s">
        <v>28</v>
      </c>
      <c r="O2" s="8" t="s">
        <v>29</v>
      </c>
      <c r="P2" s="7" t="s">
        <v>30</v>
      </c>
      <c r="Q2" s="9" t="s">
        <v>31</v>
      </c>
      <c r="R2" s="10" t="s">
        <v>29</v>
      </c>
      <c r="S2" s="3"/>
      <c r="T2" s="3"/>
      <c r="U2" s="3"/>
      <c r="V2" s="3"/>
      <c r="W2" s="3"/>
      <c r="X2" s="3"/>
      <c r="Y2" s="3"/>
      <c r="Z2" s="3"/>
    </row>
    <row r="3" spans="1:26" ht="42" customHeight="1">
      <c r="A3" s="11">
        <v>2</v>
      </c>
      <c r="B3" s="5" t="s">
        <v>18</v>
      </c>
      <c r="C3" s="11">
        <v>2</v>
      </c>
      <c r="D3" s="12" t="s">
        <v>32</v>
      </c>
      <c r="E3" s="13" t="s">
        <v>33</v>
      </c>
      <c r="F3" s="13" t="s">
        <v>34</v>
      </c>
      <c r="G3" s="13" t="s">
        <v>35</v>
      </c>
      <c r="H3" s="13">
        <v>2017</v>
      </c>
      <c r="I3" s="13" t="s">
        <v>36</v>
      </c>
      <c r="J3" s="13" t="s">
        <v>37</v>
      </c>
      <c r="K3" s="13" t="s">
        <v>28</v>
      </c>
      <c r="L3" s="13" t="s">
        <v>38</v>
      </c>
      <c r="M3" s="13" t="s">
        <v>28</v>
      </c>
      <c r="N3" s="13" t="s">
        <v>28</v>
      </c>
      <c r="O3" s="14" t="s">
        <v>39</v>
      </c>
      <c r="P3" s="13" t="s">
        <v>40</v>
      </c>
      <c r="Q3" s="9" t="s">
        <v>31</v>
      </c>
      <c r="R3" s="10" t="s">
        <v>39</v>
      </c>
      <c r="S3" s="3"/>
      <c r="T3" s="3"/>
      <c r="U3" s="3"/>
      <c r="V3" s="3"/>
      <c r="W3" s="3"/>
      <c r="X3" s="3"/>
      <c r="Y3" s="3"/>
      <c r="Z3" s="3"/>
    </row>
    <row r="4" spans="1:26" ht="42" customHeight="1">
      <c r="A4" s="4">
        <v>3</v>
      </c>
      <c r="B4" s="5" t="s">
        <v>18</v>
      </c>
      <c r="C4" s="4">
        <v>3</v>
      </c>
      <c r="D4" s="6" t="s">
        <v>41</v>
      </c>
      <c r="E4" s="7" t="s">
        <v>42</v>
      </c>
      <c r="F4" s="7" t="s">
        <v>43</v>
      </c>
      <c r="G4" s="7" t="s">
        <v>35</v>
      </c>
      <c r="H4" s="7">
        <v>2024</v>
      </c>
      <c r="I4" s="7" t="s">
        <v>44</v>
      </c>
      <c r="J4" s="7" t="s">
        <v>45</v>
      </c>
      <c r="K4" s="7" t="s">
        <v>46</v>
      </c>
      <c r="L4" s="7" t="s">
        <v>38</v>
      </c>
      <c r="M4" s="7" t="s">
        <v>28</v>
      </c>
      <c r="N4" s="7" t="s">
        <v>47</v>
      </c>
      <c r="O4" s="8" t="s">
        <v>48</v>
      </c>
      <c r="P4" s="7" t="s">
        <v>49</v>
      </c>
      <c r="Q4" s="9" t="s">
        <v>31</v>
      </c>
      <c r="R4" s="10" t="s">
        <v>48</v>
      </c>
      <c r="S4" s="3"/>
      <c r="T4" s="3"/>
      <c r="U4" s="3"/>
      <c r="V4" s="3"/>
      <c r="W4" s="3"/>
      <c r="X4" s="3"/>
      <c r="Y4" s="3"/>
      <c r="Z4" s="3"/>
    </row>
    <row r="5" spans="1:26" ht="69.75" customHeight="1">
      <c r="A5" s="11">
        <v>4</v>
      </c>
      <c r="B5" s="5" t="s">
        <v>18</v>
      </c>
      <c r="C5" s="11">
        <v>4</v>
      </c>
      <c r="D5" s="12" t="s">
        <v>50</v>
      </c>
      <c r="E5" s="13" t="s">
        <v>51</v>
      </c>
      <c r="F5" s="13" t="s">
        <v>52</v>
      </c>
      <c r="G5" s="13" t="s">
        <v>35</v>
      </c>
      <c r="H5" s="13">
        <v>2025</v>
      </c>
      <c r="I5" s="13" t="s">
        <v>53</v>
      </c>
      <c r="J5" s="13" t="s">
        <v>54</v>
      </c>
      <c r="K5" s="13" t="s">
        <v>55</v>
      </c>
      <c r="L5" s="13" t="s">
        <v>38</v>
      </c>
      <c r="M5" s="13" t="s">
        <v>28</v>
      </c>
      <c r="N5" s="13" t="s">
        <v>28</v>
      </c>
      <c r="O5" s="14" t="s">
        <v>56</v>
      </c>
      <c r="P5" s="13" t="s">
        <v>57</v>
      </c>
      <c r="Q5" s="9" t="s">
        <v>31</v>
      </c>
      <c r="R5" s="10" t="s">
        <v>56</v>
      </c>
      <c r="S5" s="3"/>
      <c r="T5" s="3"/>
      <c r="U5" s="3"/>
      <c r="V5" s="3"/>
      <c r="W5" s="3"/>
      <c r="X5" s="3"/>
      <c r="Y5" s="3"/>
      <c r="Z5" s="3"/>
    </row>
    <row r="6" spans="1:26" ht="55.5" customHeight="1">
      <c r="A6" s="4">
        <v>5</v>
      </c>
      <c r="B6" s="5" t="s">
        <v>18</v>
      </c>
      <c r="C6" s="4">
        <v>5</v>
      </c>
      <c r="D6" s="6" t="s">
        <v>58</v>
      </c>
      <c r="E6" s="7" t="s">
        <v>59</v>
      </c>
      <c r="F6" s="7" t="s">
        <v>60</v>
      </c>
      <c r="G6" s="7" t="s">
        <v>35</v>
      </c>
      <c r="H6" s="7">
        <v>2026</v>
      </c>
      <c r="I6" s="7" t="s">
        <v>61</v>
      </c>
      <c r="J6" s="7" t="s">
        <v>62</v>
      </c>
      <c r="K6" s="7" t="s">
        <v>63</v>
      </c>
      <c r="L6" s="7" t="s">
        <v>38</v>
      </c>
      <c r="M6" s="7" t="s">
        <v>28</v>
      </c>
      <c r="N6" s="7" t="s">
        <v>64</v>
      </c>
      <c r="O6" s="8" t="s">
        <v>65</v>
      </c>
      <c r="P6" s="7" t="s">
        <v>66</v>
      </c>
      <c r="Q6" s="9" t="s">
        <v>31</v>
      </c>
      <c r="R6" s="10" t="s">
        <v>65</v>
      </c>
      <c r="S6" s="3"/>
      <c r="T6" s="3"/>
      <c r="U6" s="3"/>
      <c r="V6" s="3"/>
      <c r="W6" s="3"/>
      <c r="X6" s="3"/>
      <c r="Y6" s="3"/>
      <c r="Z6" s="3"/>
    </row>
    <row r="7" spans="1:26" ht="42" customHeight="1">
      <c r="A7" s="11">
        <v>6</v>
      </c>
      <c r="B7" s="5" t="s">
        <v>18</v>
      </c>
      <c r="C7" s="11">
        <v>6</v>
      </c>
      <c r="D7" s="12" t="s">
        <v>67</v>
      </c>
      <c r="E7" s="13" t="s">
        <v>68</v>
      </c>
      <c r="F7" s="13" t="s">
        <v>69</v>
      </c>
      <c r="G7" s="13" t="s">
        <v>35</v>
      </c>
      <c r="H7" s="13">
        <v>2026</v>
      </c>
      <c r="I7" s="13" t="s">
        <v>70</v>
      </c>
      <c r="J7" s="13" t="s">
        <v>71</v>
      </c>
      <c r="K7" s="13" t="s">
        <v>72</v>
      </c>
      <c r="L7" s="13" t="s">
        <v>73</v>
      </c>
      <c r="M7" s="13" t="s">
        <v>28</v>
      </c>
      <c r="N7" s="13" t="s">
        <v>74</v>
      </c>
      <c r="O7" s="14" t="s">
        <v>75</v>
      </c>
      <c r="P7" s="13" t="s">
        <v>76</v>
      </c>
      <c r="Q7" s="9" t="s">
        <v>31</v>
      </c>
      <c r="R7" s="10" t="s">
        <v>75</v>
      </c>
      <c r="S7" s="3"/>
      <c r="T7" s="3"/>
      <c r="U7" s="3"/>
      <c r="V7" s="3"/>
      <c r="W7" s="3"/>
      <c r="X7" s="3"/>
      <c r="Y7" s="3"/>
      <c r="Z7" s="3"/>
    </row>
    <row r="8" spans="1:26" ht="69.75" customHeight="1">
      <c r="A8" s="4">
        <v>7</v>
      </c>
      <c r="B8" s="5" t="s">
        <v>18</v>
      </c>
      <c r="C8" s="4">
        <v>8</v>
      </c>
      <c r="D8" s="6" t="s">
        <v>77</v>
      </c>
      <c r="E8" s="7" t="s">
        <v>78</v>
      </c>
      <c r="F8" s="7" t="s">
        <v>79</v>
      </c>
      <c r="G8" s="7" t="s">
        <v>80</v>
      </c>
      <c r="H8" s="7">
        <v>2022</v>
      </c>
      <c r="I8" s="7" t="s">
        <v>81</v>
      </c>
      <c r="J8" s="7" t="s">
        <v>82</v>
      </c>
      <c r="K8" s="7" t="s">
        <v>83</v>
      </c>
      <c r="L8" s="7" t="s">
        <v>84</v>
      </c>
      <c r="M8" s="7" t="s">
        <v>85</v>
      </c>
      <c r="N8" s="7" t="s">
        <v>28</v>
      </c>
      <c r="O8" s="8" t="s">
        <v>86</v>
      </c>
      <c r="P8" s="7" t="s">
        <v>87</v>
      </c>
      <c r="Q8" s="9" t="s">
        <v>31</v>
      </c>
      <c r="R8" s="10" t="s">
        <v>86</v>
      </c>
      <c r="S8" s="3"/>
      <c r="T8" s="3"/>
      <c r="U8" s="3"/>
      <c r="V8" s="3"/>
      <c r="W8" s="3"/>
      <c r="X8" s="3"/>
      <c r="Y8" s="3"/>
      <c r="Z8" s="3"/>
    </row>
    <row r="9" spans="1:26" ht="42" customHeight="1">
      <c r="A9" s="11">
        <v>8</v>
      </c>
      <c r="B9" s="5" t="s">
        <v>18</v>
      </c>
      <c r="C9" s="11">
        <v>10</v>
      </c>
      <c r="D9" s="12" t="s">
        <v>88</v>
      </c>
      <c r="E9" s="13" t="s">
        <v>89</v>
      </c>
      <c r="F9" s="13" t="s">
        <v>90</v>
      </c>
      <c r="G9" s="13" t="s">
        <v>91</v>
      </c>
      <c r="H9" s="13">
        <v>2026</v>
      </c>
      <c r="I9" s="13" t="s">
        <v>92</v>
      </c>
      <c r="J9" s="13" t="s">
        <v>93</v>
      </c>
      <c r="K9" s="13" t="s">
        <v>94</v>
      </c>
      <c r="L9" s="13" t="s">
        <v>38</v>
      </c>
      <c r="M9" s="13" t="s">
        <v>28</v>
      </c>
      <c r="N9" s="13" t="s">
        <v>28</v>
      </c>
      <c r="O9" s="14" t="s">
        <v>95</v>
      </c>
      <c r="P9" s="13" t="s">
        <v>96</v>
      </c>
      <c r="Q9" s="9" t="s">
        <v>31</v>
      </c>
      <c r="R9" s="10" t="s">
        <v>95</v>
      </c>
      <c r="S9" s="3"/>
      <c r="T9" s="3"/>
      <c r="U9" s="3"/>
      <c r="V9" s="3"/>
      <c r="W9" s="3"/>
      <c r="X9" s="3"/>
      <c r="Y9" s="3"/>
      <c r="Z9" s="3"/>
    </row>
    <row r="10" spans="1:26" ht="42" customHeight="1">
      <c r="A10" s="4">
        <v>9</v>
      </c>
      <c r="B10" s="5" t="s">
        <v>18</v>
      </c>
      <c r="C10" s="4">
        <v>12</v>
      </c>
      <c r="D10" s="6" t="s">
        <v>97</v>
      </c>
      <c r="E10" s="7" t="s">
        <v>98</v>
      </c>
      <c r="F10" s="7" t="s">
        <v>99</v>
      </c>
      <c r="G10" s="7" t="s">
        <v>100</v>
      </c>
      <c r="H10" s="7">
        <v>2024</v>
      </c>
      <c r="I10" s="7" t="s">
        <v>101</v>
      </c>
      <c r="J10" s="7" t="s">
        <v>102</v>
      </c>
      <c r="K10" s="7" t="s">
        <v>103</v>
      </c>
      <c r="L10" s="7" t="s">
        <v>38</v>
      </c>
      <c r="M10" s="7" t="s">
        <v>28</v>
      </c>
      <c r="N10" s="7" t="s">
        <v>104</v>
      </c>
      <c r="O10" s="8" t="s">
        <v>105</v>
      </c>
      <c r="P10" s="7" t="s">
        <v>106</v>
      </c>
      <c r="Q10" s="9" t="s">
        <v>31</v>
      </c>
      <c r="R10" s="10" t="s">
        <v>105</v>
      </c>
      <c r="S10" s="3"/>
      <c r="T10" s="3"/>
      <c r="U10" s="3"/>
      <c r="V10" s="3"/>
      <c r="W10" s="3"/>
      <c r="X10" s="3"/>
      <c r="Y10" s="3"/>
      <c r="Z10" s="3"/>
    </row>
    <row r="11" spans="1:26" ht="55.5" customHeight="1">
      <c r="A11" s="11">
        <v>10</v>
      </c>
      <c r="B11" s="5" t="s">
        <v>18</v>
      </c>
      <c r="C11" s="11">
        <v>13</v>
      </c>
      <c r="D11" s="12" t="s">
        <v>107</v>
      </c>
      <c r="E11" s="13" t="s">
        <v>108</v>
      </c>
      <c r="F11" s="13" t="s">
        <v>109</v>
      </c>
      <c r="G11" s="13" t="s">
        <v>110</v>
      </c>
      <c r="H11" s="13">
        <v>2025</v>
      </c>
      <c r="I11" s="13" t="s">
        <v>111</v>
      </c>
      <c r="J11" s="13" t="s">
        <v>112</v>
      </c>
      <c r="K11" s="13" t="s">
        <v>113</v>
      </c>
      <c r="L11" s="13" t="s">
        <v>114</v>
      </c>
      <c r="M11" s="13" t="s">
        <v>28</v>
      </c>
      <c r="N11" s="13" t="s">
        <v>115</v>
      </c>
      <c r="O11" s="14" t="s">
        <v>116</v>
      </c>
      <c r="P11" s="13" t="s">
        <v>117</v>
      </c>
      <c r="Q11" s="9" t="s">
        <v>31</v>
      </c>
      <c r="R11" s="10" t="s">
        <v>116</v>
      </c>
      <c r="S11" s="3"/>
      <c r="T11" s="3"/>
      <c r="U11" s="3"/>
      <c r="V11" s="3"/>
      <c r="W11" s="3"/>
      <c r="X11" s="3"/>
      <c r="Y11" s="3"/>
      <c r="Z11" s="3"/>
    </row>
    <row r="12" spans="1:26" ht="84" customHeight="1">
      <c r="A12" s="4">
        <v>11</v>
      </c>
      <c r="B12" s="5" t="s">
        <v>18</v>
      </c>
      <c r="C12" s="4">
        <v>16</v>
      </c>
      <c r="D12" s="6" t="s">
        <v>118</v>
      </c>
      <c r="E12" s="7" t="s">
        <v>119</v>
      </c>
      <c r="F12" s="7" t="s">
        <v>120</v>
      </c>
      <c r="G12" s="7" t="s">
        <v>121</v>
      </c>
      <c r="H12" s="7">
        <v>2024</v>
      </c>
      <c r="I12" s="7" t="s">
        <v>122</v>
      </c>
      <c r="J12" s="7" t="s">
        <v>123</v>
      </c>
      <c r="K12" s="7" t="s">
        <v>124</v>
      </c>
      <c r="L12" s="7" t="s">
        <v>125</v>
      </c>
      <c r="M12" s="7" t="s">
        <v>28</v>
      </c>
      <c r="N12" s="7" t="s">
        <v>126</v>
      </c>
      <c r="O12" s="8" t="s">
        <v>127</v>
      </c>
      <c r="P12" s="7" t="s">
        <v>128</v>
      </c>
      <c r="Q12" s="9" t="s">
        <v>31</v>
      </c>
      <c r="R12" s="10" t="s">
        <v>127</v>
      </c>
      <c r="S12" s="3"/>
      <c r="T12" s="3"/>
      <c r="U12" s="3"/>
      <c r="V12" s="3"/>
      <c r="W12" s="3"/>
      <c r="X12" s="3"/>
      <c r="Y12" s="3"/>
      <c r="Z12" s="3"/>
    </row>
    <row r="13" spans="1:26" ht="27.75" customHeight="1">
      <c r="A13" s="11">
        <v>12</v>
      </c>
      <c r="B13" s="5" t="s">
        <v>18</v>
      </c>
      <c r="C13" s="11">
        <v>17</v>
      </c>
      <c r="D13" s="12" t="s">
        <v>129</v>
      </c>
      <c r="E13" s="13" t="s">
        <v>130</v>
      </c>
      <c r="F13" s="13" t="s">
        <v>131</v>
      </c>
      <c r="G13" s="13" t="s">
        <v>132</v>
      </c>
      <c r="H13" s="13">
        <v>2019</v>
      </c>
      <c r="I13" s="13" t="s">
        <v>133</v>
      </c>
      <c r="J13" s="13" t="s">
        <v>134</v>
      </c>
      <c r="K13" s="13" t="s">
        <v>135</v>
      </c>
      <c r="L13" s="13" t="s">
        <v>38</v>
      </c>
      <c r="M13" s="13" t="s">
        <v>136</v>
      </c>
      <c r="N13" s="13" t="s">
        <v>28</v>
      </c>
      <c r="O13" s="14" t="s">
        <v>137</v>
      </c>
      <c r="P13" s="13" t="s">
        <v>138</v>
      </c>
      <c r="Q13" s="15" t="s">
        <v>139</v>
      </c>
      <c r="R13" s="16" t="s">
        <v>140</v>
      </c>
      <c r="S13" s="3"/>
      <c r="T13" s="3"/>
      <c r="U13" s="3"/>
      <c r="V13" s="3"/>
      <c r="W13" s="3"/>
      <c r="X13" s="3"/>
      <c r="Y13" s="3"/>
      <c r="Z13" s="3"/>
    </row>
    <row r="14" spans="1:26" ht="42" customHeight="1">
      <c r="A14" s="4">
        <v>13</v>
      </c>
      <c r="B14" s="5" t="s">
        <v>18</v>
      </c>
      <c r="C14" s="4">
        <v>18</v>
      </c>
      <c r="D14" s="6" t="s">
        <v>141</v>
      </c>
      <c r="E14" s="7" t="s">
        <v>142</v>
      </c>
      <c r="F14" s="7" t="s">
        <v>143</v>
      </c>
      <c r="G14" s="7" t="s">
        <v>132</v>
      </c>
      <c r="H14" s="7">
        <v>2020</v>
      </c>
      <c r="I14" s="7" t="s">
        <v>144</v>
      </c>
      <c r="J14" s="7" t="s">
        <v>145</v>
      </c>
      <c r="K14" s="7" t="s">
        <v>146</v>
      </c>
      <c r="L14" s="7" t="s">
        <v>147</v>
      </c>
      <c r="M14" s="7" t="s">
        <v>28</v>
      </c>
      <c r="N14" s="7" t="s">
        <v>28</v>
      </c>
      <c r="O14" s="8" t="s">
        <v>148</v>
      </c>
      <c r="P14" s="7" t="s">
        <v>149</v>
      </c>
      <c r="Q14" s="15" t="s">
        <v>139</v>
      </c>
      <c r="R14" s="16" t="s">
        <v>150</v>
      </c>
      <c r="S14" s="3"/>
      <c r="T14" s="3"/>
      <c r="U14" s="3"/>
      <c r="V14" s="3"/>
      <c r="W14" s="3"/>
      <c r="X14" s="3"/>
      <c r="Y14" s="3"/>
      <c r="Z14" s="3"/>
    </row>
    <row r="15" spans="1:26" ht="97.5" customHeight="1">
      <c r="A15" s="11">
        <v>14</v>
      </c>
      <c r="B15" s="5" t="s">
        <v>18</v>
      </c>
      <c r="C15" s="11">
        <v>19</v>
      </c>
      <c r="D15" s="12" t="s">
        <v>151</v>
      </c>
      <c r="E15" s="13" t="s">
        <v>152</v>
      </c>
      <c r="F15" s="13" t="s">
        <v>153</v>
      </c>
      <c r="G15" s="13" t="s">
        <v>132</v>
      </c>
      <c r="H15" s="13">
        <v>2020</v>
      </c>
      <c r="I15" s="13" t="s">
        <v>154</v>
      </c>
      <c r="J15" s="13" t="s">
        <v>155</v>
      </c>
      <c r="K15" s="13" t="s">
        <v>156</v>
      </c>
      <c r="L15" s="13" t="s">
        <v>38</v>
      </c>
      <c r="M15" s="13" t="s">
        <v>157</v>
      </c>
      <c r="N15" s="13" t="s">
        <v>158</v>
      </c>
      <c r="O15" s="14" t="s">
        <v>159</v>
      </c>
      <c r="P15" s="13" t="s">
        <v>160</v>
      </c>
      <c r="Q15" s="17" t="s">
        <v>161</v>
      </c>
      <c r="R15" s="16" t="s">
        <v>162</v>
      </c>
      <c r="S15" s="3"/>
      <c r="T15" s="3"/>
      <c r="U15" s="3"/>
      <c r="V15" s="3"/>
      <c r="W15" s="3"/>
      <c r="X15" s="3"/>
      <c r="Y15" s="3"/>
      <c r="Z15" s="3"/>
    </row>
    <row r="16" spans="1:26" ht="55.5" customHeight="1">
      <c r="A16" s="4">
        <v>15</v>
      </c>
      <c r="B16" s="5" t="s">
        <v>18</v>
      </c>
      <c r="C16" s="4">
        <v>20</v>
      </c>
      <c r="D16" s="6" t="s">
        <v>163</v>
      </c>
      <c r="E16" s="7" t="s">
        <v>164</v>
      </c>
      <c r="F16" s="7" t="s">
        <v>165</v>
      </c>
      <c r="G16" s="7" t="s">
        <v>132</v>
      </c>
      <c r="H16" s="7">
        <v>2021</v>
      </c>
      <c r="I16" s="7" t="s">
        <v>166</v>
      </c>
      <c r="J16" s="7" t="s">
        <v>167</v>
      </c>
      <c r="K16" s="7" t="s">
        <v>168</v>
      </c>
      <c r="L16" s="7" t="s">
        <v>38</v>
      </c>
      <c r="M16" s="7" t="s">
        <v>169</v>
      </c>
      <c r="N16" s="7" t="s">
        <v>28</v>
      </c>
      <c r="O16" s="8" t="s">
        <v>170</v>
      </c>
      <c r="P16" s="7" t="s">
        <v>171</v>
      </c>
      <c r="Q16" s="15" t="s">
        <v>139</v>
      </c>
      <c r="R16" s="16" t="s">
        <v>172</v>
      </c>
      <c r="S16" s="3"/>
      <c r="T16" s="3"/>
      <c r="U16" s="3"/>
      <c r="V16" s="3"/>
      <c r="W16" s="3"/>
      <c r="X16" s="3"/>
      <c r="Y16" s="3"/>
      <c r="Z16" s="3"/>
    </row>
    <row r="17" spans="1:26" ht="55.5" customHeight="1">
      <c r="A17" s="11">
        <v>16</v>
      </c>
      <c r="B17" s="5" t="s">
        <v>18</v>
      </c>
      <c r="C17" s="11">
        <v>21</v>
      </c>
      <c r="D17" s="12" t="s">
        <v>173</v>
      </c>
      <c r="E17" s="13" t="s">
        <v>174</v>
      </c>
      <c r="F17" s="13" t="s">
        <v>175</v>
      </c>
      <c r="G17" s="13" t="s">
        <v>132</v>
      </c>
      <c r="H17" s="13">
        <v>2022</v>
      </c>
      <c r="I17" s="13" t="s">
        <v>176</v>
      </c>
      <c r="J17" s="13" t="s">
        <v>177</v>
      </c>
      <c r="K17" s="13" t="s">
        <v>178</v>
      </c>
      <c r="L17" s="13" t="s">
        <v>38</v>
      </c>
      <c r="M17" s="13" t="s">
        <v>28</v>
      </c>
      <c r="N17" s="13" t="s">
        <v>179</v>
      </c>
      <c r="O17" s="14" t="s">
        <v>180</v>
      </c>
      <c r="P17" s="13" t="s">
        <v>181</v>
      </c>
      <c r="Q17" s="18" t="s">
        <v>182</v>
      </c>
      <c r="R17" s="16" t="s">
        <v>183</v>
      </c>
      <c r="S17" s="3"/>
      <c r="T17" s="3"/>
      <c r="U17" s="3"/>
      <c r="V17" s="3"/>
      <c r="W17" s="3"/>
      <c r="X17" s="3"/>
      <c r="Y17" s="3"/>
      <c r="Z17" s="3"/>
    </row>
    <row r="18" spans="1:26" ht="55.5" customHeight="1">
      <c r="A18" s="4">
        <v>17</v>
      </c>
      <c r="B18" s="5" t="s">
        <v>18</v>
      </c>
      <c r="C18" s="4">
        <v>22</v>
      </c>
      <c r="D18" s="6" t="s">
        <v>184</v>
      </c>
      <c r="E18" s="7" t="s">
        <v>185</v>
      </c>
      <c r="F18" s="7" t="s">
        <v>186</v>
      </c>
      <c r="G18" s="7" t="s">
        <v>132</v>
      </c>
      <c r="H18" s="7">
        <v>2023</v>
      </c>
      <c r="I18" s="7" t="s">
        <v>187</v>
      </c>
      <c r="J18" s="7" t="s">
        <v>188</v>
      </c>
      <c r="K18" s="7" t="s">
        <v>189</v>
      </c>
      <c r="L18" s="7" t="s">
        <v>190</v>
      </c>
      <c r="M18" s="7" t="s">
        <v>28</v>
      </c>
      <c r="N18" s="7" t="s">
        <v>191</v>
      </c>
      <c r="O18" s="8" t="s">
        <v>192</v>
      </c>
      <c r="P18" s="7" t="s">
        <v>193</v>
      </c>
      <c r="Q18" s="15" t="s">
        <v>139</v>
      </c>
      <c r="R18" s="16" t="s">
        <v>194</v>
      </c>
      <c r="S18" s="3"/>
      <c r="T18" s="3"/>
      <c r="U18" s="3"/>
      <c r="V18" s="3"/>
      <c r="W18" s="3"/>
      <c r="X18" s="3"/>
      <c r="Y18" s="3"/>
      <c r="Z18" s="3"/>
    </row>
    <row r="19" spans="1:26" ht="42" customHeight="1">
      <c r="A19" s="11">
        <v>18</v>
      </c>
      <c r="B19" s="5" t="s">
        <v>18</v>
      </c>
      <c r="C19" s="11">
        <v>23</v>
      </c>
      <c r="D19" s="12" t="s">
        <v>195</v>
      </c>
      <c r="E19" s="13" t="s">
        <v>196</v>
      </c>
      <c r="F19" s="13" t="s">
        <v>197</v>
      </c>
      <c r="G19" s="13" t="s">
        <v>132</v>
      </c>
      <c r="H19" s="13">
        <v>2023</v>
      </c>
      <c r="I19" s="13" t="s">
        <v>198</v>
      </c>
      <c r="J19" s="13" t="s">
        <v>199</v>
      </c>
      <c r="K19" s="13" t="s">
        <v>168</v>
      </c>
      <c r="L19" s="13" t="s">
        <v>38</v>
      </c>
      <c r="M19" s="13" t="s">
        <v>200</v>
      </c>
      <c r="N19" s="13" t="s">
        <v>28</v>
      </c>
      <c r="O19" s="14" t="s">
        <v>201</v>
      </c>
      <c r="P19" s="13" t="s">
        <v>202</v>
      </c>
      <c r="Q19" s="19" t="s">
        <v>203</v>
      </c>
      <c r="R19" s="16" t="s">
        <v>204</v>
      </c>
      <c r="S19" s="3"/>
      <c r="T19" s="3"/>
      <c r="U19" s="3"/>
      <c r="V19" s="3"/>
      <c r="W19" s="3"/>
      <c r="X19" s="3"/>
      <c r="Y19" s="3"/>
      <c r="Z19" s="3"/>
    </row>
    <row r="20" spans="1:26" ht="55.5" customHeight="1">
      <c r="A20" s="4">
        <v>19</v>
      </c>
      <c r="B20" s="5" t="s">
        <v>18</v>
      </c>
      <c r="C20" s="4">
        <v>24</v>
      </c>
      <c r="D20" s="6" t="s">
        <v>205</v>
      </c>
      <c r="E20" s="7" t="s">
        <v>206</v>
      </c>
      <c r="F20" s="7" t="s">
        <v>207</v>
      </c>
      <c r="G20" s="7" t="s">
        <v>132</v>
      </c>
      <c r="H20" s="7">
        <v>2023</v>
      </c>
      <c r="I20" s="7" t="s">
        <v>208</v>
      </c>
      <c r="J20" s="7" t="s">
        <v>209</v>
      </c>
      <c r="K20" s="7" t="s">
        <v>94</v>
      </c>
      <c r="L20" s="7" t="s">
        <v>38</v>
      </c>
      <c r="M20" s="7" t="s">
        <v>210</v>
      </c>
      <c r="N20" s="7" t="s">
        <v>211</v>
      </c>
      <c r="O20" s="8" t="s">
        <v>212</v>
      </c>
      <c r="P20" s="7" t="s">
        <v>213</v>
      </c>
      <c r="Q20" s="15" t="s">
        <v>139</v>
      </c>
      <c r="R20" s="16" t="s">
        <v>214</v>
      </c>
      <c r="S20" s="3"/>
      <c r="T20" s="3"/>
      <c r="U20" s="3"/>
      <c r="V20" s="3"/>
      <c r="W20" s="3"/>
      <c r="X20" s="3"/>
      <c r="Y20" s="3"/>
      <c r="Z20" s="3"/>
    </row>
    <row r="21" spans="1:26" ht="15.75" customHeight="1">
      <c r="A21" s="11">
        <v>20</v>
      </c>
      <c r="B21" s="5" t="s">
        <v>18</v>
      </c>
      <c r="C21" s="11">
        <v>25</v>
      </c>
      <c r="D21" s="12" t="s">
        <v>215</v>
      </c>
      <c r="E21" s="13" t="s">
        <v>216</v>
      </c>
      <c r="F21" s="13" t="s">
        <v>217</v>
      </c>
      <c r="G21" s="13" t="s">
        <v>132</v>
      </c>
      <c r="H21" s="13">
        <v>2023</v>
      </c>
      <c r="I21" s="13" t="s">
        <v>218</v>
      </c>
      <c r="J21" s="13" t="s">
        <v>219</v>
      </c>
      <c r="K21" s="13" t="s">
        <v>220</v>
      </c>
      <c r="L21" s="13" t="s">
        <v>38</v>
      </c>
      <c r="M21" s="13" t="s">
        <v>28</v>
      </c>
      <c r="N21" s="13" t="s">
        <v>221</v>
      </c>
      <c r="O21" s="14" t="s">
        <v>222</v>
      </c>
      <c r="P21" s="13" t="s">
        <v>223</v>
      </c>
      <c r="Q21" s="20" t="s">
        <v>224</v>
      </c>
      <c r="R21" s="16" t="s">
        <v>225</v>
      </c>
      <c r="S21" s="3"/>
      <c r="T21" s="3"/>
      <c r="U21" s="3"/>
      <c r="V21" s="3"/>
      <c r="W21" s="3"/>
      <c r="X21" s="3"/>
      <c r="Y21" s="3"/>
      <c r="Z21" s="3"/>
    </row>
    <row r="22" spans="1:26" ht="15.75" customHeight="1">
      <c r="A22" s="4">
        <v>21</v>
      </c>
      <c r="B22" s="5" t="s">
        <v>18</v>
      </c>
      <c r="C22" s="4">
        <v>26</v>
      </c>
      <c r="D22" s="6" t="s">
        <v>226</v>
      </c>
      <c r="E22" s="7" t="s">
        <v>227</v>
      </c>
      <c r="F22" s="7" t="s">
        <v>228</v>
      </c>
      <c r="G22" s="7" t="s">
        <v>132</v>
      </c>
      <c r="H22" s="7">
        <v>2023</v>
      </c>
      <c r="I22" s="7" t="s">
        <v>229</v>
      </c>
      <c r="J22" s="7" t="s">
        <v>230</v>
      </c>
      <c r="K22" s="7" t="s">
        <v>168</v>
      </c>
      <c r="L22" s="7" t="s">
        <v>38</v>
      </c>
      <c r="M22" s="7" t="s">
        <v>169</v>
      </c>
      <c r="N22" s="7" t="s">
        <v>231</v>
      </c>
      <c r="O22" s="8" t="s">
        <v>232</v>
      </c>
      <c r="P22" s="7" t="s">
        <v>233</v>
      </c>
      <c r="Q22" s="15" t="s">
        <v>139</v>
      </c>
      <c r="R22" s="16" t="s">
        <v>234</v>
      </c>
      <c r="S22" s="3"/>
      <c r="T22" s="3"/>
      <c r="U22" s="3"/>
      <c r="V22" s="3"/>
      <c r="W22" s="3"/>
      <c r="X22" s="3"/>
      <c r="Y22" s="3"/>
      <c r="Z22" s="3"/>
    </row>
    <row r="23" spans="1:26" ht="15.75" customHeight="1">
      <c r="A23" s="11">
        <v>22</v>
      </c>
      <c r="B23" s="5" t="s">
        <v>18</v>
      </c>
      <c r="C23" s="11">
        <v>27</v>
      </c>
      <c r="D23" s="12" t="s">
        <v>235</v>
      </c>
      <c r="E23" s="13" t="s">
        <v>236</v>
      </c>
      <c r="F23" s="13" t="s">
        <v>237</v>
      </c>
      <c r="G23" s="13" t="s">
        <v>132</v>
      </c>
      <c r="H23" s="13">
        <v>2023</v>
      </c>
      <c r="I23" s="13" t="s">
        <v>238</v>
      </c>
      <c r="J23" s="13" t="s">
        <v>239</v>
      </c>
      <c r="K23" s="13" t="s">
        <v>156</v>
      </c>
      <c r="L23" s="13" t="s">
        <v>38</v>
      </c>
      <c r="M23" s="13" t="s">
        <v>157</v>
      </c>
      <c r="N23" s="13" t="s">
        <v>240</v>
      </c>
      <c r="O23" s="14" t="s">
        <v>241</v>
      </c>
      <c r="P23" s="13" t="s">
        <v>242</v>
      </c>
      <c r="Q23" s="21" t="s">
        <v>243</v>
      </c>
      <c r="R23" s="16" t="s">
        <v>244</v>
      </c>
      <c r="S23" s="3"/>
      <c r="T23" s="3"/>
      <c r="U23" s="3"/>
      <c r="V23" s="3"/>
      <c r="W23" s="3"/>
      <c r="X23" s="3"/>
      <c r="Y23" s="3"/>
      <c r="Z23" s="3"/>
    </row>
    <row r="24" spans="1:26" ht="15.75" customHeight="1">
      <c r="A24" s="4">
        <v>23</v>
      </c>
      <c r="B24" s="5" t="s">
        <v>18</v>
      </c>
      <c r="C24" s="4">
        <v>28</v>
      </c>
      <c r="D24" s="6" t="s">
        <v>245</v>
      </c>
      <c r="E24" s="7" t="s">
        <v>246</v>
      </c>
      <c r="F24" s="7" t="s">
        <v>247</v>
      </c>
      <c r="G24" s="7" t="s">
        <v>132</v>
      </c>
      <c r="H24" s="7">
        <v>2024</v>
      </c>
      <c r="I24" s="7" t="s">
        <v>248</v>
      </c>
      <c r="J24" s="7" t="s">
        <v>249</v>
      </c>
      <c r="K24" s="7" t="s">
        <v>250</v>
      </c>
      <c r="L24" s="7" t="s">
        <v>38</v>
      </c>
      <c r="M24" s="7" t="s">
        <v>251</v>
      </c>
      <c r="N24" s="7" t="s">
        <v>252</v>
      </c>
      <c r="O24" s="8" t="s">
        <v>253</v>
      </c>
      <c r="P24" s="7" t="s">
        <v>254</v>
      </c>
      <c r="Q24" s="9" t="s">
        <v>31</v>
      </c>
      <c r="R24" s="10" t="s">
        <v>253</v>
      </c>
      <c r="S24" s="3"/>
      <c r="T24" s="3"/>
      <c r="U24" s="3"/>
      <c r="V24" s="3"/>
      <c r="W24" s="3"/>
      <c r="X24" s="3"/>
      <c r="Y24" s="3"/>
      <c r="Z24" s="3"/>
    </row>
    <row r="25" spans="1:26" ht="15.75" customHeight="1">
      <c r="A25" s="11">
        <v>24</v>
      </c>
      <c r="B25" s="5" t="s">
        <v>18</v>
      </c>
      <c r="C25" s="11">
        <v>29</v>
      </c>
      <c r="D25" s="12" t="s">
        <v>255</v>
      </c>
      <c r="E25" s="13" t="s">
        <v>256</v>
      </c>
      <c r="F25" s="13" t="s">
        <v>257</v>
      </c>
      <c r="G25" s="13" t="s">
        <v>132</v>
      </c>
      <c r="H25" s="13">
        <v>2024</v>
      </c>
      <c r="I25" s="13" t="s">
        <v>258</v>
      </c>
      <c r="J25" s="13" t="s">
        <v>259</v>
      </c>
      <c r="K25" s="13" t="s">
        <v>168</v>
      </c>
      <c r="L25" s="13" t="s">
        <v>38</v>
      </c>
      <c r="M25" s="13" t="s">
        <v>260</v>
      </c>
      <c r="N25" s="13" t="s">
        <v>261</v>
      </c>
      <c r="O25" s="14" t="s">
        <v>262</v>
      </c>
      <c r="P25" s="13" t="s">
        <v>263</v>
      </c>
      <c r="Q25" s="9" t="s">
        <v>31</v>
      </c>
      <c r="R25" s="10" t="s">
        <v>262</v>
      </c>
      <c r="S25" s="3"/>
      <c r="T25" s="3"/>
      <c r="U25" s="3"/>
      <c r="V25" s="3"/>
      <c r="W25" s="3"/>
      <c r="X25" s="3"/>
      <c r="Y25" s="3"/>
      <c r="Z25" s="3"/>
    </row>
    <row r="26" spans="1:26" ht="15.75" customHeight="1">
      <c r="A26" s="4">
        <v>25</v>
      </c>
      <c r="B26" s="5" t="s">
        <v>18</v>
      </c>
      <c r="C26" s="4">
        <v>30</v>
      </c>
      <c r="D26" s="6" t="s">
        <v>264</v>
      </c>
      <c r="E26" s="7" t="s">
        <v>265</v>
      </c>
      <c r="F26" s="7" t="s">
        <v>266</v>
      </c>
      <c r="G26" s="7" t="s">
        <v>132</v>
      </c>
      <c r="H26" s="7">
        <v>2025</v>
      </c>
      <c r="I26" s="7" t="s">
        <v>267</v>
      </c>
      <c r="J26" s="7" t="s">
        <v>268</v>
      </c>
      <c r="K26" s="7" t="s">
        <v>269</v>
      </c>
      <c r="L26" s="7" t="s">
        <v>147</v>
      </c>
      <c r="M26" s="7" t="s">
        <v>28</v>
      </c>
      <c r="N26" s="7" t="s">
        <v>270</v>
      </c>
      <c r="O26" s="8" t="s">
        <v>271</v>
      </c>
      <c r="P26" s="7" t="s">
        <v>272</v>
      </c>
      <c r="Q26" s="15" t="s">
        <v>139</v>
      </c>
      <c r="R26" s="16" t="s">
        <v>273</v>
      </c>
      <c r="S26" s="3"/>
      <c r="T26" s="3"/>
      <c r="U26" s="3"/>
      <c r="V26" s="3"/>
      <c r="W26" s="3"/>
      <c r="X26" s="3"/>
      <c r="Y26" s="3"/>
      <c r="Z26" s="3"/>
    </row>
    <row r="27" spans="1:26" ht="15.75" customHeight="1">
      <c r="A27" s="11">
        <v>26</v>
      </c>
      <c r="B27" s="5" t="s">
        <v>18</v>
      </c>
      <c r="C27" s="11">
        <v>31</v>
      </c>
      <c r="D27" s="12" t="s">
        <v>274</v>
      </c>
      <c r="E27" s="13" t="s">
        <v>275</v>
      </c>
      <c r="F27" s="13" t="s">
        <v>276</v>
      </c>
      <c r="G27" s="13" t="s">
        <v>132</v>
      </c>
      <c r="H27" s="13">
        <v>2025</v>
      </c>
      <c r="I27" s="13" t="s">
        <v>277</v>
      </c>
      <c r="J27" s="13" t="s">
        <v>278</v>
      </c>
      <c r="K27" s="13" t="s">
        <v>279</v>
      </c>
      <c r="L27" s="13" t="s">
        <v>280</v>
      </c>
      <c r="M27" s="13" t="s">
        <v>281</v>
      </c>
      <c r="N27" s="13" t="s">
        <v>282</v>
      </c>
      <c r="O27" s="14" t="s">
        <v>283</v>
      </c>
      <c r="P27" s="13" t="s">
        <v>284</v>
      </c>
      <c r="Q27" s="15" t="s">
        <v>139</v>
      </c>
      <c r="R27" s="16" t="s">
        <v>285</v>
      </c>
      <c r="S27" s="3"/>
      <c r="T27" s="3"/>
      <c r="U27" s="3"/>
      <c r="V27" s="3"/>
      <c r="W27" s="3"/>
      <c r="X27" s="3"/>
      <c r="Y27" s="3"/>
      <c r="Z27" s="3"/>
    </row>
    <row r="28" spans="1:26" ht="15.75" customHeight="1">
      <c r="A28" s="4">
        <v>27</v>
      </c>
      <c r="B28" s="5" t="s">
        <v>18</v>
      </c>
      <c r="C28" s="4">
        <v>32</v>
      </c>
      <c r="D28" s="6" t="s">
        <v>286</v>
      </c>
      <c r="E28" s="7" t="s">
        <v>287</v>
      </c>
      <c r="F28" s="7" t="s">
        <v>288</v>
      </c>
      <c r="G28" s="7" t="s">
        <v>132</v>
      </c>
      <c r="H28" s="7">
        <v>2025</v>
      </c>
      <c r="I28" s="7" t="s">
        <v>289</v>
      </c>
      <c r="J28" s="7" t="s">
        <v>290</v>
      </c>
      <c r="K28" s="7" t="s">
        <v>291</v>
      </c>
      <c r="L28" s="7" t="s">
        <v>292</v>
      </c>
      <c r="M28" s="7" t="s">
        <v>293</v>
      </c>
      <c r="N28" s="7" t="s">
        <v>294</v>
      </c>
      <c r="O28" s="8" t="s">
        <v>295</v>
      </c>
      <c r="P28" s="7" t="s">
        <v>296</v>
      </c>
      <c r="Q28" s="15" t="s">
        <v>139</v>
      </c>
      <c r="R28" s="16" t="s">
        <v>297</v>
      </c>
      <c r="S28" s="3"/>
      <c r="T28" s="3"/>
      <c r="U28" s="3"/>
      <c r="V28" s="3"/>
      <c r="W28" s="3"/>
      <c r="X28" s="3"/>
      <c r="Y28" s="3"/>
      <c r="Z28" s="3"/>
    </row>
    <row r="29" spans="1:26" ht="15.75" customHeight="1">
      <c r="A29" s="11">
        <v>28</v>
      </c>
      <c r="B29" s="5" t="s">
        <v>18</v>
      </c>
      <c r="C29" s="11">
        <v>33</v>
      </c>
      <c r="D29" s="12" t="s">
        <v>298</v>
      </c>
      <c r="E29" s="13" t="s">
        <v>299</v>
      </c>
      <c r="F29" s="13" t="s">
        <v>300</v>
      </c>
      <c r="G29" s="13" t="s">
        <v>132</v>
      </c>
      <c r="H29" s="13">
        <v>2025</v>
      </c>
      <c r="I29" s="13" t="s">
        <v>301</v>
      </c>
      <c r="J29" s="13" t="s">
        <v>302</v>
      </c>
      <c r="K29" s="13" t="s">
        <v>303</v>
      </c>
      <c r="L29" s="13" t="s">
        <v>84</v>
      </c>
      <c r="M29" s="13" t="s">
        <v>304</v>
      </c>
      <c r="N29" s="13" t="s">
        <v>305</v>
      </c>
      <c r="O29" s="14" t="s">
        <v>306</v>
      </c>
      <c r="P29" s="13" t="s">
        <v>307</v>
      </c>
      <c r="Q29" s="9" t="s">
        <v>31</v>
      </c>
      <c r="R29" s="10" t="s">
        <v>306</v>
      </c>
      <c r="S29" s="3"/>
      <c r="T29" s="3"/>
      <c r="U29" s="3"/>
      <c r="V29" s="3"/>
      <c r="W29" s="3"/>
      <c r="X29" s="3"/>
      <c r="Y29" s="3"/>
      <c r="Z29" s="3"/>
    </row>
    <row r="30" spans="1:26" ht="15.75" customHeight="1">
      <c r="A30" s="4">
        <v>29</v>
      </c>
      <c r="B30" s="5" t="s">
        <v>18</v>
      </c>
      <c r="C30" s="4">
        <v>34</v>
      </c>
      <c r="D30" s="6" t="s">
        <v>308</v>
      </c>
      <c r="E30" s="7" t="s">
        <v>309</v>
      </c>
      <c r="F30" s="7" t="s">
        <v>310</v>
      </c>
      <c r="G30" s="7" t="s">
        <v>132</v>
      </c>
      <c r="H30" s="7">
        <v>2025</v>
      </c>
      <c r="I30" s="7" t="s">
        <v>311</v>
      </c>
      <c r="J30" s="7" t="s">
        <v>312</v>
      </c>
      <c r="K30" s="7" t="s">
        <v>313</v>
      </c>
      <c r="L30" s="7" t="s">
        <v>314</v>
      </c>
      <c r="M30" s="7" t="s">
        <v>28</v>
      </c>
      <c r="N30" s="7" t="s">
        <v>315</v>
      </c>
      <c r="O30" s="8" t="s">
        <v>316</v>
      </c>
      <c r="P30" s="7" t="s">
        <v>317</v>
      </c>
      <c r="Q30" s="9" t="s">
        <v>318</v>
      </c>
      <c r="R30" s="10" t="s">
        <v>316</v>
      </c>
      <c r="S30" s="3"/>
      <c r="T30" s="3"/>
      <c r="U30" s="3"/>
      <c r="V30" s="3"/>
      <c r="W30" s="3"/>
      <c r="X30" s="3"/>
      <c r="Y30" s="3"/>
      <c r="Z30" s="3"/>
    </row>
    <row r="31" spans="1:26" ht="15.75" customHeight="1">
      <c r="A31" s="11">
        <v>30</v>
      </c>
      <c r="B31" s="5" t="s">
        <v>18</v>
      </c>
      <c r="C31" s="11">
        <v>35</v>
      </c>
      <c r="D31" s="12" t="s">
        <v>319</v>
      </c>
      <c r="E31" s="13" t="s">
        <v>320</v>
      </c>
      <c r="F31" s="13" t="s">
        <v>321</v>
      </c>
      <c r="G31" s="13" t="s">
        <v>132</v>
      </c>
      <c r="H31" s="13">
        <v>2026</v>
      </c>
      <c r="I31" s="13" t="s">
        <v>322</v>
      </c>
      <c r="J31" s="13" t="s">
        <v>323</v>
      </c>
      <c r="K31" s="13" t="s">
        <v>55</v>
      </c>
      <c r="L31" s="13" t="s">
        <v>38</v>
      </c>
      <c r="M31" s="13" t="s">
        <v>324</v>
      </c>
      <c r="N31" s="13" t="s">
        <v>325</v>
      </c>
      <c r="O31" s="14" t="s">
        <v>326</v>
      </c>
      <c r="P31" s="13" t="s">
        <v>327</v>
      </c>
      <c r="Q31" s="20" t="s">
        <v>224</v>
      </c>
      <c r="R31" s="16" t="s">
        <v>328</v>
      </c>
      <c r="S31" s="3"/>
      <c r="T31" s="3"/>
      <c r="U31" s="3"/>
      <c r="V31" s="3"/>
      <c r="W31" s="3"/>
      <c r="X31" s="3"/>
      <c r="Y31" s="3"/>
      <c r="Z31" s="3"/>
    </row>
    <row r="32" spans="1:26" ht="15.75" customHeight="1">
      <c r="A32" s="4">
        <v>31</v>
      </c>
      <c r="B32" s="5" t="s">
        <v>18</v>
      </c>
      <c r="C32" s="4">
        <v>36</v>
      </c>
      <c r="D32" s="6" t="s">
        <v>329</v>
      </c>
      <c r="E32" s="7" t="s">
        <v>330</v>
      </c>
      <c r="F32" s="7" t="s">
        <v>331</v>
      </c>
      <c r="G32" s="7" t="s">
        <v>132</v>
      </c>
      <c r="H32" s="7">
        <v>2026</v>
      </c>
      <c r="I32" s="7" t="s">
        <v>332</v>
      </c>
      <c r="J32" s="7" t="s">
        <v>333</v>
      </c>
      <c r="K32" s="7" t="s">
        <v>334</v>
      </c>
      <c r="L32" s="7" t="s">
        <v>335</v>
      </c>
      <c r="M32" s="7" t="s">
        <v>336</v>
      </c>
      <c r="N32" s="7" t="s">
        <v>337</v>
      </c>
      <c r="O32" s="8" t="s">
        <v>338</v>
      </c>
      <c r="P32" s="7" t="s">
        <v>339</v>
      </c>
      <c r="Q32" s="9" t="s">
        <v>31</v>
      </c>
      <c r="R32" s="10" t="s">
        <v>338</v>
      </c>
      <c r="S32" s="3"/>
      <c r="T32" s="3"/>
      <c r="U32" s="3"/>
      <c r="V32" s="3"/>
      <c r="W32" s="3"/>
      <c r="X32" s="3"/>
      <c r="Y32" s="3"/>
      <c r="Z32" s="3"/>
    </row>
    <row r="33" spans="1:26" ht="15.75" customHeight="1">
      <c r="A33" s="11">
        <v>32</v>
      </c>
      <c r="B33" s="5" t="s">
        <v>18</v>
      </c>
      <c r="C33" s="11">
        <v>39</v>
      </c>
      <c r="D33" s="12" t="s">
        <v>340</v>
      </c>
      <c r="E33" s="13" t="s">
        <v>341</v>
      </c>
      <c r="F33" s="13" t="s">
        <v>342</v>
      </c>
      <c r="G33" s="13" t="s">
        <v>343</v>
      </c>
      <c r="H33" s="13">
        <v>2025</v>
      </c>
      <c r="I33" s="13" t="s">
        <v>344</v>
      </c>
      <c r="J33" s="13" t="s">
        <v>345</v>
      </c>
      <c r="K33" s="13" t="s">
        <v>346</v>
      </c>
      <c r="L33" s="13" t="s">
        <v>38</v>
      </c>
      <c r="M33" s="13" t="s">
        <v>347</v>
      </c>
      <c r="N33" s="13" t="s">
        <v>28</v>
      </c>
      <c r="O33" s="13" t="s">
        <v>348</v>
      </c>
      <c r="P33" s="13" t="s">
        <v>349</v>
      </c>
      <c r="Q33" s="9" t="s">
        <v>31</v>
      </c>
      <c r="R33" s="10" t="s">
        <v>350</v>
      </c>
      <c r="S33" s="3"/>
      <c r="T33" s="3"/>
      <c r="U33" s="3"/>
      <c r="V33" s="3"/>
      <c r="W33" s="3"/>
      <c r="X33" s="3"/>
      <c r="Y33" s="3"/>
      <c r="Z33" s="3"/>
    </row>
    <row r="34" spans="1:26" ht="15.75" customHeight="1">
      <c r="A34" s="4">
        <v>33</v>
      </c>
      <c r="B34" s="5" t="s">
        <v>18</v>
      </c>
      <c r="C34" s="4">
        <v>40</v>
      </c>
      <c r="D34" s="6" t="s">
        <v>351</v>
      </c>
      <c r="E34" s="7" t="s">
        <v>352</v>
      </c>
      <c r="F34" s="7" t="s">
        <v>353</v>
      </c>
      <c r="G34" s="7" t="s">
        <v>354</v>
      </c>
      <c r="H34" s="7">
        <v>2023</v>
      </c>
      <c r="I34" s="7" t="s">
        <v>355</v>
      </c>
      <c r="J34" s="7" t="s">
        <v>356</v>
      </c>
      <c r="K34" s="7" t="s">
        <v>168</v>
      </c>
      <c r="L34" s="7" t="s">
        <v>38</v>
      </c>
      <c r="M34" s="7" t="s">
        <v>357</v>
      </c>
      <c r="N34" s="7" t="s">
        <v>358</v>
      </c>
      <c r="O34" s="7" t="s">
        <v>359</v>
      </c>
      <c r="P34" s="7" t="s">
        <v>360</v>
      </c>
      <c r="Q34" s="18" t="s">
        <v>182</v>
      </c>
      <c r="R34" s="16" t="s">
        <v>361</v>
      </c>
      <c r="S34" s="3"/>
      <c r="T34" s="3"/>
      <c r="U34" s="3"/>
      <c r="V34" s="3"/>
      <c r="W34" s="3"/>
      <c r="X34" s="3"/>
      <c r="Y34" s="3"/>
      <c r="Z34" s="3"/>
    </row>
    <row r="35" spans="1:26" ht="15.75" customHeight="1">
      <c r="A35" s="11">
        <v>34</v>
      </c>
      <c r="B35" s="5" t="s">
        <v>18</v>
      </c>
      <c r="C35" s="11">
        <v>41</v>
      </c>
      <c r="D35" s="12" t="s">
        <v>362</v>
      </c>
      <c r="E35" s="13" t="s">
        <v>363</v>
      </c>
      <c r="F35" s="13" t="s">
        <v>364</v>
      </c>
      <c r="G35" s="13" t="s">
        <v>365</v>
      </c>
      <c r="H35" s="13">
        <v>2025</v>
      </c>
      <c r="I35" s="13" t="s">
        <v>366</v>
      </c>
      <c r="J35" s="13" t="s">
        <v>367</v>
      </c>
      <c r="K35" s="13" t="s">
        <v>346</v>
      </c>
      <c r="L35" s="13" t="s">
        <v>38</v>
      </c>
      <c r="M35" s="13" t="s">
        <v>28</v>
      </c>
      <c r="N35" s="13" t="s">
        <v>368</v>
      </c>
      <c r="O35" s="14" t="s">
        <v>369</v>
      </c>
      <c r="P35" s="13" t="s">
        <v>370</v>
      </c>
      <c r="Q35" s="9" t="s">
        <v>31</v>
      </c>
      <c r="R35" s="10" t="s">
        <v>369</v>
      </c>
      <c r="S35" s="3"/>
      <c r="T35" s="3"/>
      <c r="U35" s="3"/>
      <c r="V35" s="3"/>
      <c r="W35" s="3"/>
      <c r="X35" s="3"/>
      <c r="Y35" s="3"/>
      <c r="Z35" s="3"/>
    </row>
    <row r="36" spans="1:26" ht="15.75" customHeight="1">
      <c r="A36" s="4">
        <v>35</v>
      </c>
      <c r="B36" s="5" t="s">
        <v>18</v>
      </c>
      <c r="C36" s="4">
        <v>43</v>
      </c>
      <c r="D36" s="6" t="s">
        <v>371</v>
      </c>
      <c r="E36" s="7" t="s">
        <v>372</v>
      </c>
      <c r="F36" s="7" t="s">
        <v>373</v>
      </c>
      <c r="G36" s="7" t="s">
        <v>374</v>
      </c>
      <c r="H36" s="7">
        <v>2020</v>
      </c>
      <c r="I36" s="7" t="s">
        <v>375</v>
      </c>
      <c r="J36" s="7" t="s">
        <v>376</v>
      </c>
      <c r="K36" s="7" t="s">
        <v>377</v>
      </c>
      <c r="L36" s="7" t="s">
        <v>292</v>
      </c>
      <c r="M36" s="7" t="s">
        <v>378</v>
      </c>
      <c r="N36" s="7" t="s">
        <v>379</v>
      </c>
      <c r="O36" s="7" t="s">
        <v>380</v>
      </c>
      <c r="P36" s="7" t="s">
        <v>381</v>
      </c>
      <c r="Q36" s="9" t="s">
        <v>31</v>
      </c>
      <c r="R36" s="10" t="s">
        <v>382</v>
      </c>
      <c r="S36" s="3"/>
      <c r="T36" s="3"/>
      <c r="U36" s="3"/>
      <c r="V36" s="3"/>
      <c r="W36" s="3"/>
      <c r="X36" s="3"/>
      <c r="Y36" s="3"/>
      <c r="Z36" s="3"/>
    </row>
    <row r="37" spans="1:26" ht="15.75" customHeight="1">
      <c r="A37" s="11">
        <v>36</v>
      </c>
      <c r="B37" s="5" t="s">
        <v>18</v>
      </c>
      <c r="C37" s="11">
        <v>44</v>
      </c>
      <c r="D37" s="12" t="s">
        <v>383</v>
      </c>
      <c r="E37" s="13" t="s">
        <v>384</v>
      </c>
      <c r="F37" s="13" t="s">
        <v>385</v>
      </c>
      <c r="G37" s="13" t="s">
        <v>374</v>
      </c>
      <c r="H37" s="13">
        <v>2022</v>
      </c>
      <c r="I37" s="13" t="s">
        <v>386</v>
      </c>
      <c r="J37" s="13" t="s">
        <v>387</v>
      </c>
      <c r="K37" s="13" t="s">
        <v>388</v>
      </c>
      <c r="L37" s="13" t="s">
        <v>38</v>
      </c>
      <c r="M37" s="13" t="s">
        <v>389</v>
      </c>
      <c r="N37" s="13" t="s">
        <v>28</v>
      </c>
      <c r="O37" s="14" t="s">
        <v>390</v>
      </c>
      <c r="P37" s="13" t="s">
        <v>391</v>
      </c>
      <c r="Q37" s="18" t="s">
        <v>182</v>
      </c>
      <c r="R37" s="16" t="s">
        <v>390</v>
      </c>
      <c r="S37" s="3"/>
      <c r="T37" s="3"/>
      <c r="U37" s="3"/>
      <c r="V37" s="3"/>
      <c r="W37" s="3"/>
      <c r="X37" s="3"/>
      <c r="Y37" s="3"/>
      <c r="Z37" s="3"/>
    </row>
    <row r="38" spans="1:26" ht="15.75" customHeight="1">
      <c r="A38" s="4">
        <v>37</v>
      </c>
      <c r="B38" s="5" t="s">
        <v>18</v>
      </c>
      <c r="C38" s="4">
        <v>46</v>
      </c>
      <c r="D38" s="6" t="s">
        <v>392</v>
      </c>
      <c r="E38" s="7" t="s">
        <v>393</v>
      </c>
      <c r="F38" s="7" t="s">
        <v>394</v>
      </c>
      <c r="G38" s="7" t="s">
        <v>395</v>
      </c>
      <c r="H38" s="7">
        <v>2023</v>
      </c>
      <c r="I38" s="7" t="s">
        <v>396</v>
      </c>
      <c r="J38" s="7" t="s">
        <v>397</v>
      </c>
      <c r="K38" s="7" t="s">
        <v>398</v>
      </c>
      <c r="L38" s="7" t="s">
        <v>399</v>
      </c>
      <c r="M38" s="7" t="s">
        <v>400</v>
      </c>
      <c r="N38" s="7" t="s">
        <v>401</v>
      </c>
      <c r="O38" s="8" t="s">
        <v>402</v>
      </c>
      <c r="P38" s="7" t="s">
        <v>403</v>
      </c>
      <c r="Q38" s="15" t="s">
        <v>139</v>
      </c>
      <c r="R38" s="16" t="s">
        <v>404</v>
      </c>
      <c r="S38" s="3"/>
      <c r="T38" s="3"/>
      <c r="U38" s="3"/>
      <c r="V38" s="3"/>
      <c r="W38" s="3"/>
      <c r="X38" s="3"/>
      <c r="Y38" s="3"/>
      <c r="Z38" s="3"/>
    </row>
    <row r="39" spans="1:26" ht="15.75" customHeight="1">
      <c r="A39" s="11">
        <v>38</v>
      </c>
      <c r="B39" s="5" t="s">
        <v>18</v>
      </c>
      <c r="C39" s="11">
        <v>47</v>
      </c>
      <c r="D39" s="12" t="s">
        <v>405</v>
      </c>
      <c r="E39" s="13" t="s">
        <v>406</v>
      </c>
      <c r="F39" s="13" t="s">
        <v>407</v>
      </c>
      <c r="G39" s="13" t="s">
        <v>408</v>
      </c>
      <c r="H39" s="13">
        <v>2019</v>
      </c>
      <c r="I39" s="13" t="s">
        <v>409</v>
      </c>
      <c r="J39" s="13" t="s">
        <v>410</v>
      </c>
      <c r="K39" s="13" t="s">
        <v>411</v>
      </c>
      <c r="L39" s="13" t="s">
        <v>412</v>
      </c>
      <c r="M39" s="13" t="s">
        <v>28</v>
      </c>
      <c r="N39" s="13" t="s">
        <v>28</v>
      </c>
      <c r="O39" s="14" t="s">
        <v>413</v>
      </c>
      <c r="P39" s="13" t="s">
        <v>414</v>
      </c>
      <c r="Q39" s="15" t="s">
        <v>139</v>
      </c>
      <c r="R39" s="16" t="s">
        <v>415</v>
      </c>
      <c r="S39" s="3"/>
      <c r="T39" s="3"/>
      <c r="U39" s="3"/>
      <c r="V39" s="3"/>
      <c r="W39" s="3"/>
      <c r="X39" s="3"/>
      <c r="Y39" s="3"/>
      <c r="Z39" s="3"/>
    </row>
    <row r="40" spans="1:26" ht="15.75" customHeight="1">
      <c r="A40" s="4">
        <v>39</v>
      </c>
      <c r="B40" s="5" t="s">
        <v>18</v>
      </c>
      <c r="C40" s="4">
        <v>49</v>
      </c>
      <c r="D40" s="6" t="s">
        <v>416</v>
      </c>
      <c r="E40" s="7" t="s">
        <v>417</v>
      </c>
      <c r="F40" s="7" t="s">
        <v>418</v>
      </c>
      <c r="G40" s="7" t="s">
        <v>419</v>
      </c>
      <c r="H40" s="7">
        <v>2025</v>
      </c>
      <c r="I40" s="7" t="s">
        <v>420</v>
      </c>
      <c r="J40" s="7" t="s">
        <v>421</v>
      </c>
      <c r="K40" s="7" t="s">
        <v>422</v>
      </c>
      <c r="L40" s="7" t="s">
        <v>292</v>
      </c>
      <c r="M40" s="7" t="s">
        <v>423</v>
      </c>
      <c r="N40" s="7" t="s">
        <v>424</v>
      </c>
      <c r="O40" s="7" t="s">
        <v>425</v>
      </c>
      <c r="P40" s="7" t="s">
        <v>426</v>
      </c>
      <c r="Q40" s="9" t="s">
        <v>31</v>
      </c>
      <c r="R40" s="10" t="s">
        <v>427</v>
      </c>
      <c r="S40" s="3"/>
      <c r="T40" s="3"/>
      <c r="U40" s="3"/>
      <c r="V40" s="3"/>
      <c r="W40" s="3"/>
      <c r="X40" s="3"/>
      <c r="Y40" s="3"/>
      <c r="Z40" s="3"/>
    </row>
    <row r="41" spans="1:26" ht="15.75" customHeight="1">
      <c r="A41" s="11">
        <v>40</v>
      </c>
      <c r="B41" s="5" t="s">
        <v>18</v>
      </c>
      <c r="C41" s="11">
        <v>51</v>
      </c>
      <c r="D41" s="12" t="s">
        <v>428</v>
      </c>
      <c r="E41" s="13" t="s">
        <v>429</v>
      </c>
      <c r="F41" s="13" t="s">
        <v>430</v>
      </c>
      <c r="G41" s="13" t="s">
        <v>431</v>
      </c>
      <c r="H41" s="13">
        <v>2020</v>
      </c>
      <c r="I41" s="13" t="s">
        <v>432</v>
      </c>
      <c r="J41" s="13" t="s">
        <v>433</v>
      </c>
      <c r="K41" s="13" t="s">
        <v>189</v>
      </c>
      <c r="L41" s="13" t="s">
        <v>114</v>
      </c>
      <c r="M41" s="13" t="s">
        <v>434</v>
      </c>
      <c r="N41" s="13" t="s">
        <v>28</v>
      </c>
      <c r="O41" s="14" t="s">
        <v>435</v>
      </c>
      <c r="P41" s="13" t="s">
        <v>436</v>
      </c>
      <c r="Q41" s="22" t="s">
        <v>437</v>
      </c>
      <c r="R41" s="16" t="s">
        <v>435</v>
      </c>
      <c r="S41" s="3"/>
      <c r="T41" s="3"/>
      <c r="U41" s="3"/>
      <c r="V41" s="3"/>
      <c r="W41" s="3"/>
      <c r="X41" s="3"/>
      <c r="Y41" s="3"/>
      <c r="Z41" s="3"/>
    </row>
    <row r="42" spans="1:26" ht="15.75" customHeight="1">
      <c r="A42" s="4">
        <v>41</v>
      </c>
      <c r="B42" s="5" t="s">
        <v>18</v>
      </c>
      <c r="C42" s="4">
        <v>52</v>
      </c>
      <c r="D42" s="6" t="s">
        <v>438</v>
      </c>
      <c r="E42" s="7" t="s">
        <v>439</v>
      </c>
      <c r="F42" s="7" t="s">
        <v>440</v>
      </c>
      <c r="G42" s="7" t="s">
        <v>431</v>
      </c>
      <c r="H42" s="7">
        <v>2024</v>
      </c>
      <c r="I42" s="7" t="s">
        <v>441</v>
      </c>
      <c r="J42" s="7" t="s">
        <v>442</v>
      </c>
      <c r="K42" s="7" t="s">
        <v>443</v>
      </c>
      <c r="L42" s="7" t="s">
        <v>38</v>
      </c>
      <c r="M42" s="7" t="s">
        <v>444</v>
      </c>
      <c r="N42" s="7" t="s">
        <v>445</v>
      </c>
      <c r="O42" s="8" t="s">
        <v>446</v>
      </c>
      <c r="P42" s="7" t="s">
        <v>447</v>
      </c>
      <c r="Q42" s="20" t="s">
        <v>224</v>
      </c>
      <c r="R42" s="16" t="s">
        <v>446</v>
      </c>
      <c r="S42" s="3"/>
      <c r="T42" s="3"/>
      <c r="U42" s="3"/>
      <c r="V42" s="3"/>
      <c r="W42" s="3"/>
      <c r="X42" s="3"/>
      <c r="Y42" s="3"/>
      <c r="Z42" s="3"/>
    </row>
    <row r="43" spans="1:26" ht="15.75" customHeight="1">
      <c r="A43" s="11">
        <v>42</v>
      </c>
      <c r="B43" s="5" t="s">
        <v>18</v>
      </c>
      <c r="C43" s="11">
        <v>55</v>
      </c>
      <c r="D43" s="12" t="s">
        <v>448</v>
      </c>
      <c r="E43" s="13" t="s">
        <v>449</v>
      </c>
      <c r="F43" s="13" t="s">
        <v>450</v>
      </c>
      <c r="G43" s="13" t="s">
        <v>431</v>
      </c>
      <c r="H43" s="13">
        <v>2021</v>
      </c>
      <c r="I43" s="13" t="s">
        <v>451</v>
      </c>
      <c r="J43" s="13" t="s">
        <v>452</v>
      </c>
      <c r="K43" s="13" t="s">
        <v>453</v>
      </c>
      <c r="L43" s="13" t="s">
        <v>454</v>
      </c>
      <c r="M43" s="13" t="s">
        <v>455</v>
      </c>
      <c r="N43" s="13" t="s">
        <v>28</v>
      </c>
      <c r="O43" s="14" t="s">
        <v>456</v>
      </c>
      <c r="P43" s="13" t="s">
        <v>457</v>
      </c>
      <c r="Q43" s="22" t="s">
        <v>437</v>
      </c>
      <c r="R43" s="16" t="s">
        <v>456</v>
      </c>
      <c r="S43" s="3"/>
      <c r="T43" s="3"/>
      <c r="U43" s="3"/>
      <c r="V43" s="3"/>
      <c r="W43" s="3"/>
      <c r="X43" s="3"/>
      <c r="Y43" s="3"/>
      <c r="Z43" s="3"/>
    </row>
    <row r="44" spans="1:26" ht="15.75" customHeight="1">
      <c r="A44" s="4">
        <v>43</v>
      </c>
      <c r="B44" s="5" t="s">
        <v>18</v>
      </c>
      <c r="C44" s="4">
        <v>63</v>
      </c>
      <c r="D44" s="6" t="s">
        <v>458</v>
      </c>
      <c r="E44" s="7" t="s">
        <v>459</v>
      </c>
      <c r="F44" s="7" t="s">
        <v>460</v>
      </c>
      <c r="G44" s="7" t="s">
        <v>132</v>
      </c>
      <c r="H44" s="7">
        <v>2026</v>
      </c>
      <c r="I44" s="7" t="s">
        <v>461</v>
      </c>
      <c r="J44" s="7" t="s">
        <v>462</v>
      </c>
      <c r="K44" s="7" t="s">
        <v>422</v>
      </c>
      <c r="L44" s="7" t="s">
        <v>38</v>
      </c>
      <c r="M44" s="7" t="s">
        <v>463</v>
      </c>
      <c r="N44" s="7" t="s">
        <v>464</v>
      </c>
      <c r="O44" s="8" t="s">
        <v>465</v>
      </c>
      <c r="P44" s="7" t="s">
        <v>466</v>
      </c>
      <c r="Q44" s="9" t="s">
        <v>31</v>
      </c>
      <c r="R44" s="10" t="s">
        <v>465</v>
      </c>
      <c r="S44" s="3"/>
      <c r="T44" s="3"/>
      <c r="U44" s="3"/>
      <c r="V44" s="3"/>
      <c r="W44" s="3"/>
      <c r="X44" s="3"/>
      <c r="Y44" s="3"/>
      <c r="Z44" s="3"/>
    </row>
    <row r="45" spans="1:26" ht="15.75" customHeight="1">
      <c r="A45" s="11">
        <v>44</v>
      </c>
      <c r="B45" s="5" t="s">
        <v>18</v>
      </c>
      <c r="C45" s="11">
        <v>65</v>
      </c>
      <c r="D45" s="12" t="s">
        <v>467</v>
      </c>
      <c r="E45" s="13" t="s">
        <v>468</v>
      </c>
      <c r="F45" s="13" t="s">
        <v>469</v>
      </c>
      <c r="G45" s="13" t="s">
        <v>132</v>
      </c>
      <c r="H45" s="13">
        <v>2018</v>
      </c>
      <c r="I45" s="13" t="s">
        <v>470</v>
      </c>
      <c r="J45" s="13" t="s">
        <v>471</v>
      </c>
      <c r="K45" s="13" t="s">
        <v>168</v>
      </c>
      <c r="L45" s="13" t="s">
        <v>38</v>
      </c>
      <c r="M45" s="13" t="s">
        <v>28</v>
      </c>
      <c r="N45" s="13" t="s">
        <v>28</v>
      </c>
      <c r="O45" s="14" t="s">
        <v>472</v>
      </c>
      <c r="P45" s="13" t="s">
        <v>473</v>
      </c>
      <c r="Q45" s="15" t="s">
        <v>139</v>
      </c>
      <c r="R45" s="16" t="s">
        <v>472</v>
      </c>
      <c r="S45" s="3"/>
      <c r="T45" s="3"/>
      <c r="U45" s="3"/>
      <c r="V45" s="3"/>
      <c r="W45" s="3"/>
      <c r="X45" s="3"/>
      <c r="Y45" s="3"/>
      <c r="Z45" s="3"/>
    </row>
    <row r="46" spans="1:26" ht="15.75" customHeight="1">
      <c r="A46" s="4">
        <v>45</v>
      </c>
      <c r="B46" s="5" t="s">
        <v>18</v>
      </c>
      <c r="C46" s="4">
        <v>67</v>
      </c>
      <c r="D46" s="6" t="s">
        <v>474</v>
      </c>
      <c r="E46" s="7" t="s">
        <v>475</v>
      </c>
      <c r="F46" s="7" t="s">
        <v>476</v>
      </c>
      <c r="G46" s="7" t="s">
        <v>477</v>
      </c>
      <c r="H46" s="7">
        <v>2020</v>
      </c>
      <c r="I46" s="7" t="s">
        <v>478</v>
      </c>
      <c r="J46" s="7" t="s">
        <v>479</v>
      </c>
      <c r="K46" s="7">
        <v>3</v>
      </c>
      <c r="L46" s="7" t="s">
        <v>38</v>
      </c>
      <c r="M46" s="7" t="s">
        <v>28</v>
      </c>
      <c r="N46" s="7" t="s">
        <v>28</v>
      </c>
      <c r="O46" s="7" t="s">
        <v>480</v>
      </c>
      <c r="P46" s="7" t="s">
        <v>481</v>
      </c>
      <c r="Q46" s="9" t="s">
        <v>31</v>
      </c>
      <c r="R46" s="10" t="s">
        <v>482</v>
      </c>
      <c r="S46" s="3"/>
      <c r="T46" s="3"/>
      <c r="U46" s="3"/>
      <c r="V46" s="3"/>
      <c r="W46" s="3"/>
      <c r="X46" s="3"/>
      <c r="Y46" s="3"/>
      <c r="Z46" s="3"/>
    </row>
    <row r="47" spans="1:26" ht="15.75" customHeight="1">
      <c r="A47" s="11">
        <v>46</v>
      </c>
      <c r="B47" s="5" t="s">
        <v>18</v>
      </c>
      <c r="C47" s="11">
        <v>68</v>
      </c>
      <c r="D47" s="12" t="s">
        <v>483</v>
      </c>
      <c r="E47" s="13" t="s">
        <v>484</v>
      </c>
      <c r="F47" s="13" t="s">
        <v>485</v>
      </c>
      <c r="G47" s="13" t="s">
        <v>477</v>
      </c>
      <c r="H47" s="13">
        <v>2020</v>
      </c>
      <c r="I47" s="13" t="s">
        <v>486</v>
      </c>
      <c r="J47" s="13" t="s">
        <v>487</v>
      </c>
      <c r="K47" s="13" t="s">
        <v>28</v>
      </c>
      <c r="L47" s="13" t="s">
        <v>38</v>
      </c>
      <c r="M47" s="13" t="s">
        <v>28</v>
      </c>
      <c r="N47" s="13" t="s">
        <v>28</v>
      </c>
      <c r="O47" s="13" t="s">
        <v>488</v>
      </c>
      <c r="P47" s="13" t="s">
        <v>489</v>
      </c>
      <c r="Q47" s="9" t="s">
        <v>31</v>
      </c>
      <c r="R47" s="10" t="s">
        <v>490</v>
      </c>
      <c r="S47" s="3"/>
      <c r="T47" s="3"/>
      <c r="U47" s="3"/>
      <c r="V47" s="3"/>
      <c r="W47" s="3"/>
      <c r="X47" s="3"/>
      <c r="Y47" s="3"/>
      <c r="Z47" s="3"/>
    </row>
    <row r="48" spans="1:26" ht="15.75" customHeight="1">
      <c r="A48" s="4">
        <v>47</v>
      </c>
      <c r="B48" s="5" t="s">
        <v>18</v>
      </c>
      <c r="C48" s="4">
        <v>69</v>
      </c>
      <c r="D48" s="6" t="s">
        <v>491</v>
      </c>
      <c r="E48" s="7" t="s">
        <v>492</v>
      </c>
      <c r="F48" s="7" t="s">
        <v>493</v>
      </c>
      <c r="G48" s="7" t="s">
        <v>477</v>
      </c>
      <c r="H48" s="7">
        <v>2020</v>
      </c>
      <c r="I48" s="7" t="s">
        <v>494</v>
      </c>
      <c r="J48" s="7" t="s">
        <v>495</v>
      </c>
      <c r="K48" s="7" t="s">
        <v>496</v>
      </c>
      <c r="L48" s="7" t="s">
        <v>38</v>
      </c>
      <c r="M48" s="7" t="s">
        <v>28</v>
      </c>
      <c r="N48" s="7" t="s">
        <v>28</v>
      </c>
      <c r="O48" s="7" t="s">
        <v>497</v>
      </c>
      <c r="P48" s="7" t="s">
        <v>498</v>
      </c>
      <c r="Q48" s="9" t="s">
        <v>31</v>
      </c>
      <c r="R48" s="10" t="s">
        <v>499</v>
      </c>
      <c r="S48" s="3"/>
      <c r="T48" s="3"/>
      <c r="U48" s="3"/>
      <c r="V48" s="3"/>
      <c r="W48" s="3"/>
      <c r="X48" s="3"/>
      <c r="Y48" s="3"/>
      <c r="Z48" s="3"/>
    </row>
    <row r="49" spans="1:26" ht="15.75" customHeight="1">
      <c r="A49" s="11">
        <v>48</v>
      </c>
      <c r="B49" s="5" t="s">
        <v>18</v>
      </c>
      <c r="C49" s="11">
        <v>70</v>
      </c>
      <c r="D49" s="12" t="s">
        <v>500</v>
      </c>
      <c r="E49" s="13" t="s">
        <v>501</v>
      </c>
      <c r="F49" s="13" t="s">
        <v>502</v>
      </c>
      <c r="G49" s="13" t="s">
        <v>477</v>
      </c>
      <c r="H49" s="13">
        <v>2021</v>
      </c>
      <c r="I49" s="13" t="s">
        <v>503</v>
      </c>
      <c r="J49" s="13" t="s">
        <v>504</v>
      </c>
      <c r="K49" s="13" t="s">
        <v>505</v>
      </c>
      <c r="L49" s="13" t="s">
        <v>38</v>
      </c>
      <c r="M49" s="13" t="s">
        <v>28</v>
      </c>
      <c r="N49" s="13" t="s">
        <v>28</v>
      </c>
      <c r="O49" s="14" t="s">
        <v>506</v>
      </c>
      <c r="P49" s="13" t="s">
        <v>507</v>
      </c>
      <c r="Q49" s="23" t="s">
        <v>508</v>
      </c>
      <c r="R49" s="16" t="s">
        <v>506</v>
      </c>
      <c r="S49" s="3"/>
      <c r="T49" s="3"/>
      <c r="U49" s="3"/>
      <c r="V49" s="3"/>
      <c r="W49" s="3"/>
      <c r="X49" s="3"/>
      <c r="Y49" s="3"/>
      <c r="Z49" s="3"/>
    </row>
    <row r="50" spans="1:26" ht="15.75" customHeight="1">
      <c r="A50" s="4">
        <v>49</v>
      </c>
      <c r="B50" s="5" t="s">
        <v>18</v>
      </c>
      <c r="C50" s="4">
        <v>71</v>
      </c>
      <c r="D50" s="6" t="s">
        <v>509</v>
      </c>
      <c r="E50" s="7" t="s">
        <v>510</v>
      </c>
      <c r="F50" s="7" t="s">
        <v>511</v>
      </c>
      <c r="G50" s="7" t="s">
        <v>477</v>
      </c>
      <c r="H50" s="7">
        <v>2021</v>
      </c>
      <c r="I50" s="7" t="s">
        <v>512</v>
      </c>
      <c r="J50" s="7" t="s">
        <v>513</v>
      </c>
      <c r="K50" s="7" t="s">
        <v>514</v>
      </c>
      <c r="L50" s="7" t="s">
        <v>38</v>
      </c>
      <c r="M50" s="7" t="s">
        <v>28</v>
      </c>
      <c r="N50" s="7" t="s">
        <v>515</v>
      </c>
      <c r="O50" s="7" t="s">
        <v>516</v>
      </c>
      <c r="P50" s="7" t="s">
        <v>517</v>
      </c>
      <c r="Q50" s="9" t="s">
        <v>31</v>
      </c>
      <c r="R50" s="10" t="s">
        <v>518</v>
      </c>
      <c r="S50" s="3"/>
      <c r="T50" s="3"/>
      <c r="U50" s="3"/>
      <c r="V50" s="3"/>
      <c r="W50" s="3"/>
      <c r="X50" s="3"/>
      <c r="Y50" s="3"/>
      <c r="Z50" s="3"/>
    </row>
    <row r="51" spans="1:26" ht="25.5">
      <c r="A51" s="65">
        <v>50</v>
      </c>
      <c r="B51" s="66" t="s">
        <v>18</v>
      </c>
      <c r="C51" s="65">
        <v>72</v>
      </c>
      <c r="D51" s="67" t="s">
        <v>519</v>
      </c>
      <c r="E51" s="68" t="s">
        <v>520</v>
      </c>
      <c r="F51" s="68" t="s">
        <v>521</v>
      </c>
      <c r="G51" s="68" t="s">
        <v>477</v>
      </c>
      <c r="H51" s="68">
        <v>2021</v>
      </c>
      <c r="I51" s="68" t="s">
        <v>522</v>
      </c>
      <c r="J51" s="68" t="s">
        <v>523</v>
      </c>
      <c r="K51" s="68" t="s">
        <v>103</v>
      </c>
      <c r="L51" s="68" t="s">
        <v>38</v>
      </c>
      <c r="M51" s="68" t="s">
        <v>28</v>
      </c>
      <c r="N51" s="68" t="s">
        <v>28</v>
      </c>
      <c r="O51" s="68" t="s">
        <v>524</v>
      </c>
      <c r="P51" s="68" t="s">
        <v>525</v>
      </c>
      <c r="Q51" s="69" t="s">
        <v>31</v>
      </c>
      <c r="R51" s="70" t="s">
        <v>526</v>
      </c>
      <c r="S51" s="71"/>
      <c r="T51" s="71"/>
      <c r="U51" s="71"/>
      <c r="V51" s="71"/>
      <c r="W51" s="71"/>
      <c r="X51" s="71"/>
      <c r="Y51" s="71"/>
      <c r="Z51" s="71"/>
    </row>
    <row r="52" spans="1:26" ht="15.75" customHeight="1">
      <c r="A52" s="4">
        <v>51</v>
      </c>
      <c r="B52" s="5" t="s">
        <v>18</v>
      </c>
      <c r="C52" s="4">
        <v>74</v>
      </c>
      <c r="D52" s="6" t="s">
        <v>527</v>
      </c>
      <c r="E52" s="7" t="s">
        <v>528</v>
      </c>
      <c r="F52" s="7" t="s">
        <v>529</v>
      </c>
      <c r="G52" s="7" t="s">
        <v>477</v>
      </c>
      <c r="H52" s="7">
        <v>2023</v>
      </c>
      <c r="I52" s="7" t="s">
        <v>530</v>
      </c>
      <c r="J52" s="7" t="s">
        <v>531</v>
      </c>
      <c r="K52" s="7" t="s">
        <v>168</v>
      </c>
      <c r="L52" s="7" t="s">
        <v>38</v>
      </c>
      <c r="M52" s="7" t="s">
        <v>532</v>
      </c>
      <c r="N52" s="7" t="s">
        <v>533</v>
      </c>
      <c r="O52" s="8" t="s">
        <v>534</v>
      </c>
      <c r="P52" s="7" t="s">
        <v>535</v>
      </c>
      <c r="Q52" s="20" t="s">
        <v>224</v>
      </c>
      <c r="R52" s="16" t="s">
        <v>536</v>
      </c>
      <c r="S52" s="3"/>
      <c r="T52" s="3"/>
      <c r="U52" s="3"/>
      <c r="V52" s="3"/>
      <c r="W52" s="3"/>
      <c r="X52" s="3"/>
      <c r="Y52" s="3"/>
      <c r="Z52" s="3"/>
    </row>
    <row r="53" spans="1:26" ht="15.75" customHeight="1">
      <c r="A53" s="11">
        <v>52</v>
      </c>
      <c r="B53" s="5" t="s">
        <v>18</v>
      </c>
      <c r="C53" s="11">
        <v>75</v>
      </c>
      <c r="D53" s="12" t="s">
        <v>537</v>
      </c>
      <c r="E53" s="13" t="s">
        <v>538</v>
      </c>
      <c r="F53" s="13" t="s">
        <v>539</v>
      </c>
      <c r="G53" s="13" t="s">
        <v>477</v>
      </c>
      <c r="H53" s="13">
        <v>2025</v>
      </c>
      <c r="I53" s="13" t="s">
        <v>540</v>
      </c>
      <c r="J53" s="13" t="s">
        <v>541</v>
      </c>
      <c r="K53" s="13" t="s">
        <v>28</v>
      </c>
      <c r="L53" s="13" t="s">
        <v>542</v>
      </c>
      <c r="M53" s="13" t="s">
        <v>28</v>
      </c>
      <c r="N53" s="13" t="s">
        <v>28</v>
      </c>
      <c r="O53" s="13" t="s">
        <v>543</v>
      </c>
      <c r="P53" s="13" t="s">
        <v>544</v>
      </c>
      <c r="Q53" s="9" t="s">
        <v>318</v>
      </c>
      <c r="R53" s="10" t="s">
        <v>545</v>
      </c>
      <c r="S53" s="3"/>
      <c r="T53" s="3"/>
      <c r="U53" s="3"/>
      <c r="V53" s="3"/>
      <c r="W53" s="3"/>
      <c r="X53" s="3"/>
      <c r="Y53" s="3"/>
      <c r="Z53" s="3"/>
    </row>
    <row r="54" spans="1:26" ht="15.75" customHeight="1">
      <c r="A54" s="29">
        <v>54</v>
      </c>
      <c r="B54" s="25" t="s">
        <v>546</v>
      </c>
      <c r="C54" s="29">
        <v>2</v>
      </c>
      <c r="D54" s="30" t="s">
        <v>552</v>
      </c>
      <c r="E54" s="31" t="s">
        <v>553</v>
      </c>
      <c r="F54" s="31" t="s">
        <v>554</v>
      </c>
      <c r="G54" s="31" t="s">
        <v>555</v>
      </c>
      <c r="H54" s="31" t="s">
        <v>556</v>
      </c>
      <c r="I54" s="31" t="s">
        <v>557</v>
      </c>
      <c r="J54" s="31" t="s">
        <v>558</v>
      </c>
      <c r="K54" s="31" t="s">
        <v>559</v>
      </c>
      <c r="L54" s="31" t="s">
        <v>560</v>
      </c>
      <c r="M54" s="31" t="s">
        <v>28</v>
      </c>
      <c r="N54" s="31" t="s">
        <v>561</v>
      </c>
      <c r="O54" s="32" t="s">
        <v>562</v>
      </c>
      <c r="P54" s="31" t="s">
        <v>563</v>
      </c>
      <c r="Q54" s="18" t="s">
        <v>182</v>
      </c>
      <c r="R54" s="16" t="s">
        <v>562</v>
      </c>
      <c r="S54" s="3"/>
      <c r="T54" s="3"/>
      <c r="U54" s="3"/>
      <c r="V54" s="3"/>
      <c r="W54" s="3"/>
      <c r="X54" s="3"/>
      <c r="Y54" s="3"/>
      <c r="Z54" s="3"/>
    </row>
    <row r="55" spans="1:26" ht="15.75" customHeight="1">
      <c r="A55" s="24">
        <v>57</v>
      </c>
      <c r="B55" s="25" t="s">
        <v>546</v>
      </c>
      <c r="C55" s="24">
        <v>6</v>
      </c>
      <c r="D55" s="26" t="s">
        <v>580</v>
      </c>
      <c r="E55" s="27" t="s">
        <v>494</v>
      </c>
      <c r="F55" s="27" t="s">
        <v>581</v>
      </c>
      <c r="G55" s="27" t="s">
        <v>582</v>
      </c>
      <c r="H55" s="27" t="s">
        <v>28</v>
      </c>
      <c r="I55" s="27" t="s">
        <v>583</v>
      </c>
      <c r="J55" s="27" t="s">
        <v>584</v>
      </c>
      <c r="K55" s="27" t="s">
        <v>496</v>
      </c>
      <c r="L55" s="27" t="s">
        <v>585</v>
      </c>
      <c r="M55" s="27" t="s">
        <v>28</v>
      </c>
      <c r="N55" s="27" t="s">
        <v>28</v>
      </c>
      <c r="O55" s="28" t="s">
        <v>586</v>
      </c>
      <c r="P55" s="27" t="s">
        <v>587</v>
      </c>
      <c r="Q55" s="18" t="s">
        <v>182</v>
      </c>
      <c r="R55" s="16" t="s">
        <v>586</v>
      </c>
      <c r="S55" s="3"/>
      <c r="T55" s="3"/>
      <c r="U55" s="3"/>
      <c r="V55" s="3"/>
      <c r="W55" s="3"/>
      <c r="X55" s="3"/>
      <c r="Y55" s="3"/>
      <c r="Z55" s="3"/>
    </row>
    <row r="56" spans="1:26" ht="15.75" customHeight="1">
      <c r="A56" s="29">
        <v>58</v>
      </c>
      <c r="B56" s="25" t="s">
        <v>546</v>
      </c>
      <c r="C56" s="29">
        <v>7</v>
      </c>
      <c r="D56" s="30" t="s">
        <v>588</v>
      </c>
      <c r="E56" s="31" t="s">
        <v>589</v>
      </c>
      <c r="F56" s="31" t="s">
        <v>590</v>
      </c>
      <c r="G56" s="31" t="s">
        <v>591</v>
      </c>
      <c r="H56" s="31" t="s">
        <v>592</v>
      </c>
      <c r="I56" s="31" t="s">
        <v>593</v>
      </c>
      <c r="J56" s="31" t="s">
        <v>594</v>
      </c>
      <c r="K56" s="31" t="s">
        <v>398</v>
      </c>
      <c r="L56" s="31" t="s">
        <v>595</v>
      </c>
      <c r="M56" s="31" t="s">
        <v>596</v>
      </c>
      <c r="N56" s="31" t="s">
        <v>28</v>
      </c>
      <c r="O56" s="32" t="s">
        <v>597</v>
      </c>
      <c r="P56" s="31" t="s">
        <v>598</v>
      </c>
      <c r="Q56" s="20" t="s">
        <v>224</v>
      </c>
      <c r="R56" s="16" t="s">
        <v>597</v>
      </c>
      <c r="S56" s="3"/>
      <c r="T56" s="3"/>
      <c r="U56" s="3"/>
      <c r="V56" s="3"/>
      <c r="W56" s="3"/>
      <c r="X56" s="3"/>
      <c r="Y56" s="3"/>
      <c r="Z56" s="3"/>
    </row>
    <row r="57" spans="1:26" ht="15.75" customHeight="1">
      <c r="A57" s="24">
        <v>59</v>
      </c>
      <c r="B57" s="25" t="s">
        <v>546</v>
      </c>
      <c r="C57" s="24">
        <v>8</v>
      </c>
      <c r="D57" s="26" t="s">
        <v>599</v>
      </c>
      <c r="E57" s="27" t="s">
        <v>600</v>
      </c>
      <c r="F57" s="27" t="s">
        <v>601</v>
      </c>
      <c r="G57" s="27" t="s">
        <v>602</v>
      </c>
      <c r="H57" s="27" t="s">
        <v>592</v>
      </c>
      <c r="I57" s="27" t="s">
        <v>603</v>
      </c>
      <c r="J57" s="27" t="s">
        <v>604</v>
      </c>
      <c r="K57" s="27" t="s">
        <v>103</v>
      </c>
      <c r="L57" s="27" t="s">
        <v>605</v>
      </c>
      <c r="M57" s="27" t="s">
        <v>28</v>
      </c>
      <c r="N57" s="27" t="s">
        <v>606</v>
      </c>
      <c r="O57" s="28" t="s">
        <v>607</v>
      </c>
      <c r="P57" s="27" t="s">
        <v>608</v>
      </c>
      <c r="Q57" s="33" t="s">
        <v>609</v>
      </c>
      <c r="R57" s="16" t="s">
        <v>607</v>
      </c>
      <c r="S57" s="3"/>
      <c r="T57" s="3"/>
      <c r="U57" s="3"/>
      <c r="V57" s="3"/>
      <c r="W57" s="3"/>
      <c r="X57" s="3"/>
      <c r="Y57" s="3"/>
      <c r="Z57" s="3"/>
    </row>
    <row r="58" spans="1:26" ht="15.75" customHeight="1">
      <c r="A58" s="29">
        <v>60</v>
      </c>
      <c r="B58" s="25" t="s">
        <v>546</v>
      </c>
      <c r="C58" s="29">
        <v>9</v>
      </c>
      <c r="D58" s="30" t="s">
        <v>610</v>
      </c>
      <c r="E58" s="31" t="s">
        <v>611</v>
      </c>
      <c r="F58" s="31" t="s">
        <v>612</v>
      </c>
      <c r="G58" s="31" t="s">
        <v>613</v>
      </c>
      <c r="H58" s="31" t="s">
        <v>592</v>
      </c>
      <c r="I58" s="31" t="s">
        <v>603</v>
      </c>
      <c r="J58" s="31" t="s">
        <v>614</v>
      </c>
      <c r="K58" s="31" t="s">
        <v>269</v>
      </c>
      <c r="L58" s="31" t="s">
        <v>615</v>
      </c>
      <c r="M58" s="31" t="s">
        <v>616</v>
      </c>
      <c r="N58" s="31" t="s">
        <v>617</v>
      </c>
      <c r="O58" s="32" t="s">
        <v>618</v>
      </c>
      <c r="P58" s="31" t="s">
        <v>619</v>
      </c>
      <c r="Q58" s="9" t="s">
        <v>31</v>
      </c>
      <c r="R58" s="10" t="s">
        <v>618</v>
      </c>
      <c r="S58" s="3"/>
      <c r="T58" s="3"/>
      <c r="U58" s="3"/>
      <c r="V58" s="3"/>
      <c r="W58" s="3"/>
      <c r="X58" s="3"/>
      <c r="Y58" s="3"/>
      <c r="Z58" s="3"/>
    </row>
    <row r="59" spans="1:26" ht="15.75" customHeight="1">
      <c r="A59" s="29">
        <v>62</v>
      </c>
      <c r="B59" s="25" t="s">
        <v>546</v>
      </c>
      <c r="C59" s="29">
        <v>11</v>
      </c>
      <c r="D59" s="30" t="s">
        <v>627</v>
      </c>
      <c r="E59" s="31" t="s">
        <v>628</v>
      </c>
      <c r="F59" s="31" t="s">
        <v>629</v>
      </c>
      <c r="G59" s="31" t="s">
        <v>132</v>
      </c>
      <c r="H59" s="31" t="s">
        <v>630</v>
      </c>
      <c r="I59" s="31" t="s">
        <v>631</v>
      </c>
      <c r="J59" s="31" t="s">
        <v>632</v>
      </c>
      <c r="K59" s="31" t="s">
        <v>633</v>
      </c>
      <c r="L59" s="31" t="s">
        <v>634</v>
      </c>
      <c r="M59" s="31" t="s">
        <v>635</v>
      </c>
      <c r="N59" s="31" t="s">
        <v>28</v>
      </c>
      <c r="O59" s="32" t="s">
        <v>636</v>
      </c>
      <c r="P59" s="31" t="s">
        <v>637</v>
      </c>
      <c r="Q59" s="9" t="s">
        <v>31</v>
      </c>
      <c r="R59" s="10" t="s">
        <v>636</v>
      </c>
      <c r="S59" s="3"/>
      <c r="T59" s="3"/>
      <c r="U59" s="3"/>
      <c r="V59" s="3"/>
      <c r="W59" s="3"/>
      <c r="X59" s="3"/>
      <c r="Y59" s="3"/>
      <c r="Z59" s="3"/>
    </row>
    <row r="60" spans="1:26" ht="15.75" customHeight="1">
      <c r="A60" s="24">
        <v>63</v>
      </c>
      <c r="B60" s="25" t="s">
        <v>546</v>
      </c>
      <c r="C60" s="24">
        <v>13</v>
      </c>
      <c r="D60" s="26" t="s">
        <v>638</v>
      </c>
      <c r="E60" s="27" t="s">
        <v>639</v>
      </c>
      <c r="F60" s="27" t="s">
        <v>640</v>
      </c>
      <c r="G60" s="27" t="s">
        <v>641</v>
      </c>
      <c r="H60" s="27" t="s">
        <v>547</v>
      </c>
      <c r="I60" s="27" t="s">
        <v>603</v>
      </c>
      <c r="J60" s="27" t="s">
        <v>642</v>
      </c>
      <c r="K60" s="27" t="s">
        <v>643</v>
      </c>
      <c r="L60" s="27" t="s">
        <v>644</v>
      </c>
      <c r="M60" s="27" t="s">
        <v>645</v>
      </c>
      <c r="N60" s="27" t="s">
        <v>646</v>
      </c>
      <c r="O60" s="28" t="s">
        <v>647</v>
      </c>
      <c r="P60" s="27" t="s">
        <v>648</v>
      </c>
      <c r="Q60" s="9" t="s">
        <v>31</v>
      </c>
      <c r="R60" s="10" t="s">
        <v>647</v>
      </c>
      <c r="S60" s="3"/>
      <c r="T60" s="3"/>
      <c r="U60" s="3"/>
      <c r="V60" s="3"/>
      <c r="W60" s="3"/>
      <c r="X60" s="3"/>
      <c r="Y60" s="3"/>
      <c r="Z60" s="3"/>
    </row>
    <row r="61" spans="1:26" ht="15.75" customHeight="1">
      <c r="A61" s="29">
        <v>64</v>
      </c>
      <c r="B61" s="25" t="s">
        <v>546</v>
      </c>
      <c r="C61" s="29">
        <v>14</v>
      </c>
      <c r="D61" s="30" t="s">
        <v>649</v>
      </c>
      <c r="E61" s="31" t="s">
        <v>650</v>
      </c>
      <c r="F61" s="31" t="s">
        <v>28</v>
      </c>
      <c r="G61" s="31" t="s">
        <v>651</v>
      </c>
      <c r="H61" s="31" t="s">
        <v>556</v>
      </c>
      <c r="I61" s="31" t="s">
        <v>652</v>
      </c>
      <c r="J61" s="31" t="s">
        <v>653</v>
      </c>
      <c r="K61" s="31" t="s">
        <v>505</v>
      </c>
      <c r="L61" s="31" t="s">
        <v>38</v>
      </c>
      <c r="M61" s="31" t="s">
        <v>28</v>
      </c>
      <c r="N61" s="31" t="s">
        <v>28</v>
      </c>
      <c r="O61" s="32" t="s">
        <v>654</v>
      </c>
      <c r="P61" s="31" t="s">
        <v>655</v>
      </c>
      <c r="Q61" s="20" t="s">
        <v>224</v>
      </c>
      <c r="R61" s="16" t="s">
        <v>656</v>
      </c>
      <c r="S61" s="3"/>
      <c r="T61" s="3"/>
      <c r="U61" s="3"/>
      <c r="V61" s="3"/>
      <c r="W61" s="3"/>
      <c r="X61" s="3"/>
      <c r="Y61" s="3"/>
      <c r="Z61" s="3"/>
    </row>
    <row r="62" spans="1:26" ht="15.75" customHeight="1">
      <c r="A62" s="29">
        <v>68</v>
      </c>
      <c r="B62" s="25" t="s">
        <v>546</v>
      </c>
      <c r="C62" s="29">
        <v>23</v>
      </c>
      <c r="D62" s="30" t="s">
        <v>680</v>
      </c>
      <c r="E62" s="31" t="s">
        <v>681</v>
      </c>
      <c r="F62" s="31" t="s">
        <v>682</v>
      </c>
      <c r="G62" s="31" t="s">
        <v>683</v>
      </c>
      <c r="H62" s="31" t="s">
        <v>684</v>
      </c>
      <c r="I62" s="31" t="s">
        <v>685</v>
      </c>
      <c r="J62" s="31" t="s">
        <v>686</v>
      </c>
      <c r="K62" s="31" t="s">
        <v>687</v>
      </c>
      <c r="L62" s="31" t="s">
        <v>688</v>
      </c>
      <c r="M62" s="31" t="s">
        <v>689</v>
      </c>
      <c r="N62" s="31" t="s">
        <v>690</v>
      </c>
      <c r="O62" s="32" t="s">
        <v>691</v>
      </c>
      <c r="P62" s="31" t="s">
        <v>692</v>
      </c>
      <c r="Q62" s="9" t="s">
        <v>31</v>
      </c>
      <c r="R62" s="10" t="s">
        <v>691</v>
      </c>
      <c r="S62" s="3"/>
      <c r="T62" s="3"/>
      <c r="U62" s="3"/>
      <c r="V62" s="3"/>
      <c r="W62" s="3"/>
      <c r="X62" s="3"/>
      <c r="Y62" s="3"/>
      <c r="Z62" s="3"/>
    </row>
    <row r="63" spans="1:26" ht="15.75" customHeight="1">
      <c r="A63" s="24">
        <v>69</v>
      </c>
      <c r="B63" s="25" t="s">
        <v>546</v>
      </c>
      <c r="C63" s="24">
        <v>24</v>
      </c>
      <c r="D63" s="26" t="s">
        <v>693</v>
      </c>
      <c r="E63" s="27" t="s">
        <v>694</v>
      </c>
      <c r="F63" s="27" t="s">
        <v>695</v>
      </c>
      <c r="G63" s="27" t="s">
        <v>651</v>
      </c>
      <c r="H63" s="27" t="s">
        <v>566</v>
      </c>
      <c r="I63" s="27" t="s">
        <v>696</v>
      </c>
      <c r="J63" s="27" t="s">
        <v>697</v>
      </c>
      <c r="K63" s="27" t="s">
        <v>698</v>
      </c>
      <c r="L63" s="27" t="s">
        <v>699</v>
      </c>
      <c r="M63" s="27" t="s">
        <v>28</v>
      </c>
      <c r="N63" s="27" t="s">
        <v>28</v>
      </c>
      <c r="O63" s="28" t="s">
        <v>700</v>
      </c>
      <c r="P63" s="27" t="s">
        <v>701</v>
      </c>
      <c r="Q63" s="20" t="s">
        <v>224</v>
      </c>
      <c r="R63" s="16" t="s">
        <v>700</v>
      </c>
      <c r="S63" s="3"/>
      <c r="T63" s="3"/>
      <c r="U63" s="3"/>
      <c r="V63" s="3"/>
      <c r="W63" s="3"/>
      <c r="X63" s="3"/>
      <c r="Y63" s="3"/>
      <c r="Z63" s="3"/>
    </row>
    <row r="64" spans="1:26" ht="15.75" customHeight="1">
      <c r="A64" s="29">
        <v>70</v>
      </c>
      <c r="B64" s="25" t="s">
        <v>546</v>
      </c>
      <c r="C64" s="29">
        <v>26</v>
      </c>
      <c r="D64" s="30" t="s">
        <v>702</v>
      </c>
      <c r="E64" s="31" t="s">
        <v>703</v>
      </c>
      <c r="F64" s="31" t="s">
        <v>704</v>
      </c>
      <c r="G64" s="31" t="s">
        <v>132</v>
      </c>
      <c r="H64" s="31" t="s">
        <v>556</v>
      </c>
      <c r="I64" s="31" t="s">
        <v>705</v>
      </c>
      <c r="J64" s="31" t="s">
        <v>706</v>
      </c>
      <c r="K64" s="31" t="s">
        <v>388</v>
      </c>
      <c r="L64" s="31" t="s">
        <v>707</v>
      </c>
      <c r="M64" s="31" t="s">
        <v>708</v>
      </c>
      <c r="N64" s="31" t="s">
        <v>709</v>
      </c>
      <c r="O64" s="32" t="s">
        <v>710</v>
      </c>
      <c r="P64" s="31" t="s">
        <v>711</v>
      </c>
      <c r="Q64" s="9" t="s">
        <v>31</v>
      </c>
      <c r="R64" s="10" t="s">
        <v>710</v>
      </c>
      <c r="S64" s="3"/>
      <c r="T64" s="3"/>
      <c r="U64" s="3"/>
      <c r="V64" s="3"/>
      <c r="W64" s="3"/>
      <c r="X64" s="3"/>
      <c r="Y64" s="3"/>
      <c r="Z64" s="3"/>
    </row>
    <row r="65" spans="1:26" ht="15.75" customHeight="1">
      <c r="A65" s="24">
        <v>71</v>
      </c>
      <c r="B65" s="25" t="s">
        <v>546</v>
      </c>
      <c r="C65" s="24">
        <v>27</v>
      </c>
      <c r="D65" s="26" t="s">
        <v>712</v>
      </c>
      <c r="E65" s="27" t="s">
        <v>713</v>
      </c>
      <c r="F65" s="27" t="s">
        <v>714</v>
      </c>
      <c r="G65" s="27" t="s">
        <v>715</v>
      </c>
      <c r="H65" s="27" t="s">
        <v>592</v>
      </c>
      <c r="I65" s="27" t="s">
        <v>716</v>
      </c>
      <c r="J65" s="27" t="s">
        <v>717</v>
      </c>
      <c r="K65" s="27" t="s">
        <v>103</v>
      </c>
      <c r="L65" s="27" t="s">
        <v>718</v>
      </c>
      <c r="M65" s="27" t="s">
        <v>719</v>
      </c>
      <c r="N65" s="27" t="s">
        <v>720</v>
      </c>
      <c r="O65" s="28" t="s">
        <v>721</v>
      </c>
      <c r="P65" s="27" t="s">
        <v>722</v>
      </c>
      <c r="Q65" s="34" t="s">
        <v>723</v>
      </c>
      <c r="R65" s="16" t="s">
        <v>721</v>
      </c>
      <c r="S65" s="3"/>
      <c r="T65" s="3"/>
      <c r="U65" s="3"/>
      <c r="V65" s="3"/>
      <c r="W65" s="3"/>
      <c r="X65" s="3"/>
      <c r="Y65" s="3"/>
      <c r="Z65" s="3"/>
    </row>
    <row r="66" spans="1:26" ht="15.75" customHeight="1">
      <c r="A66" s="29">
        <v>72</v>
      </c>
      <c r="B66" s="25" t="s">
        <v>546</v>
      </c>
      <c r="C66" s="29">
        <v>28</v>
      </c>
      <c r="D66" s="30" t="s">
        <v>724</v>
      </c>
      <c r="E66" s="31" t="s">
        <v>725</v>
      </c>
      <c r="F66" s="31" t="s">
        <v>726</v>
      </c>
      <c r="G66" s="31" t="s">
        <v>641</v>
      </c>
      <c r="H66" s="31" t="s">
        <v>684</v>
      </c>
      <c r="I66" s="31" t="s">
        <v>727</v>
      </c>
      <c r="J66" s="31" t="s">
        <v>728</v>
      </c>
      <c r="K66" s="31" t="s">
        <v>94</v>
      </c>
      <c r="L66" s="31" t="s">
        <v>729</v>
      </c>
      <c r="M66" s="31" t="s">
        <v>730</v>
      </c>
      <c r="N66" s="31" t="s">
        <v>731</v>
      </c>
      <c r="O66" s="32" t="s">
        <v>732</v>
      </c>
      <c r="P66" s="31" t="s">
        <v>733</v>
      </c>
      <c r="Q66" s="9" t="s">
        <v>31</v>
      </c>
      <c r="R66" s="10" t="s">
        <v>732</v>
      </c>
      <c r="S66" s="3"/>
      <c r="T66" s="3"/>
      <c r="U66" s="3"/>
      <c r="V66" s="3"/>
      <c r="W66" s="3"/>
      <c r="X66" s="3"/>
      <c r="Y66" s="3"/>
      <c r="Z66" s="3"/>
    </row>
    <row r="67" spans="1:26" ht="15.75" customHeight="1">
      <c r="A67" s="24">
        <v>73</v>
      </c>
      <c r="B67" s="25" t="s">
        <v>546</v>
      </c>
      <c r="C67" s="24">
        <v>30</v>
      </c>
      <c r="D67" s="26" t="s">
        <v>734</v>
      </c>
      <c r="E67" s="27" t="s">
        <v>735</v>
      </c>
      <c r="F67" s="27" t="s">
        <v>736</v>
      </c>
      <c r="G67" s="27" t="s">
        <v>737</v>
      </c>
      <c r="H67" s="27" t="s">
        <v>556</v>
      </c>
      <c r="I67" s="27" t="s">
        <v>738</v>
      </c>
      <c r="J67" s="27" t="s">
        <v>739</v>
      </c>
      <c r="K67" s="27" t="s">
        <v>388</v>
      </c>
      <c r="L67" s="27" t="s">
        <v>740</v>
      </c>
      <c r="M67" s="27" t="s">
        <v>28</v>
      </c>
      <c r="N67" s="27" t="s">
        <v>741</v>
      </c>
      <c r="O67" s="28" t="s">
        <v>742</v>
      </c>
      <c r="P67" s="27" t="s">
        <v>743</v>
      </c>
      <c r="Q67" s="15" t="s">
        <v>139</v>
      </c>
      <c r="R67" s="16" t="s">
        <v>742</v>
      </c>
      <c r="S67" s="3"/>
      <c r="T67" s="3"/>
      <c r="U67" s="3"/>
      <c r="V67" s="3"/>
      <c r="W67" s="3"/>
      <c r="X67" s="3"/>
      <c r="Y67" s="3"/>
      <c r="Z67" s="3"/>
    </row>
    <row r="68" spans="1:26" ht="15.75" customHeight="1">
      <c r="A68" s="24">
        <v>75</v>
      </c>
      <c r="B68" s="25" t="s">
        <v>546</v>
      </c>
      <c r="C68" s="24">
        <v>35</v>
      </c>
      <c r="D68" s="26" t="s">
        <v>751</v>
      </c>
      <c r="E68" s="27" t="s">
        <v>752</v>
      </c>
      <c r="F68" s="27" t="s">
        <v>753</v>
      </c>
      <c r="G68" s="27" t="s">
        <v>754</v>
      </c>
      <c r="H68" s="27" t="s">
        <v>630</v>
      </c>
      <c r="I68" s="27" t="s">
        <v>755</v>
      </c>
      <c r="J68" s="27" t="s">
        <v>756</v>
      </c>
      <c r="K68" s="27" t="s">
        <v>757</v>
      </c>
      <c r="L68" s="27" t="s">
        <v>758</v>
      </c>
      <c r="M68" s="27" t="s">
        <v>759</v>
      </c>
      <c r="N68" s="27" t="s">
        <v>760</v>
      </c>
      <c r="O68" s="28" t="s">
        <v>761</v>
      </c>
      <c r="P68" s="27" t="s">
        <v>762</v>
      </c>
      <c r="Q68" s="9" t="s">
        <v>31</v>
      </c>
      <c r="R68" s="10" t="s">
        <v>761</v>
      </c>
      <c r="S68" s="3"/>
      <c r="T68" s="3"/>
      <c r="U68" s="3"/>
      <c r="V68" s="3"/>
      <c r="W68" s="3"/>
      <c r="X68" s="3"/>
      <c r="Y68" s="3"/>
      <c r="Z68" s="3"/>
    </row>
    <row r="69" spans="1:26" ht="15.75" customHeight="1">
      <c r="A69" s="29">
        <v>78</v>
      </c>
      <c r="B69" s="25" t="s">
        <v>546</v>
      </c>
      <c r="C69" s="29">
        <v>39</v>
      </c>
      <c r="D69" s="30" t="s">
        <v>776</v>
      </c>
      <c r="E69" s="31" t="s">
        <v>777</v>
      </c>
      <c r="F69" s="31" t="s">
        <v>778</v>
      </c>
      <c r="G69" s="31" t="s">
        <v>132</v>
      </c>
      <c r="H69" s="31" t="s">
        <v>566</v>
      </c>
      <c r="I69" s="31" t="s">
        <v>779</v>
      </c>
      <c r="J69" s="31" t="s">
        <v>780</v>
      </c>
      <c r="K69" s="31" t="s">
        <v>422</v>
      </c>
      <c r="L69" s="31" t="s">
        <v>781</v>
      </c>
      <c r="M69" s="31" t="s">
        <v>782</v>
      </c>
      <c r="N69" s="31" t="s">
        <v>783</v>
      </c>
      <c r="O69" s="32" t="s">
        <v>784</v>
      </c>
      <c r="P69" s="31" t="s">
        <v>785</v>
      </c>
      <c r="Q69" s="9" t="s">
        <v>31</v>
      </c>
      <c r="R69" s="10" t="s">
        <v>784</v>
      </c>
      <c r="S69" s="3"/>
      <c r="T69" s="3"/>
      <c r="U69" s="3"/>
      <c r="V69" s="3"/>
      <c r="W69" s="3"/>
      <c r="X69" s="3"/>
      <c r="Y69" s="3"/>
      <c r="Z69" s="3"/>
    </row>
    <row r="70" spans="1:26" ht="15.75" customHeight="1">
      <c r="A70" s="24">
        <v>79</v>
      </c>
      <c r="B70" s="25" t="s">
        <v>546</v>
      </c>
      <c r="C70" s="24">
        <v>40</v>
      </c>
      <c r="D70" s="26" t="s">
        <v>786</v>
      </c>
      <c r="E70" s="27" t="s">
        <v>787</v>
      </c>
      <c r="F70" s="27" t="s">
        <v>788</v>
      </c>
      <c r="G70" s="27" t="s">
        <v>641</v>
      </c>
      <c r="H70" s="27" t="s">
        <v>789</v>
      </c>
      <c r="I70" s="27" t="s">
        <v>603</v>
      </c>
      <c r="J70" s="27" t="s">
        <v>790</v>
      </c>
      <c r="K70" s="27" t="s">
        <v>94</v>
      </c>
      <c r="L70" s="27" t="s">
        <v>791</v>
      </c>
      <c r="M70" s="27" t="s">
        <v>792</v>
      </c>
      <c r="N70" s="27" t="s">
        <v>793</v>
      </c>
      <c r="O70" s="28" t="s">
        <v>794</v>
      </c>
      <c r="P70" s="27" t="s">
        <v>795</v>
      </c>
      <c r="Q70" s="20" t="s">
        <v>224</v>
      </c>
      <c r="R70" s="16" t="s">
        <v>794</v>
      </c>
      <c r="S70" s="3"/>
      <c r="T70" s="3"/>
      <c r="U70" s="3"/>
      <c r="V70" s="3"/>
      <c r="W70" s="3"/>
      <c r="X70" s="3"/>
      <c r="Y70" s="3"/>
      <c r="Z70" s="3"/>
    </row>
    <row r="71" spans="1:26" ht="15.75" customHeight="1">
      <c r="A71" s="24">
        <v>81</v>
      </c>
      <c r="B71" s="25" t="s">
        <v>546</v>
      </c>
      <c r="C71" s="24">
        <v>44</v>
      </c>
      <c r="D71" s="26" t="s">
        <v>802</v>
      </c>
      <c r="E71" s="27" t="s">
        <v>803</v>
      </c>
      <c r="F71" s="27" t="s">
        <v>804</v>
      </c>
      <c r="G71" s="27" t="s">
        <v>132</v>
      </c>
      <c r="H71" s="27" t="s">
        <v>592</v>
      </c>
      <c r="I71" s="27" t="s">
        <v>805</v>
      </c>
      <c r="J71" s="27" t="s">
        <v>806</v>
      </c>
      <c r="K71" s="27" t="s">
        <v>807</v>
      </c>
      <c r="L71" s="27" t="s">
        <v>808</v>
      </c>
      <c r="M71" s="27" t="s">
        <v>28</v>
      </c>
      <c r="N71" s="27" t="s">
        <v>809</v>
      </c>
      <c r="O71" s="28" t="s">
        <v>810</v>
      </c>
      <c r="P71" s="27" t="s">
        <v>811</v>
      </c>
      <c r="Q71" s="9" t="s">
        <v>31</v>
      </c>
      <c r="R71" s="10" t="s">
        <v>810</v>
      </c>
      <c r="S71" s="3"/>
      <c r="T71" s="3"/>
      <c r="U71" s="3"/>
      <c r="V71" s="3"/>
      <c r="W71" s="3"/>
      <c r="X71" s="3"/>
      <c r="Y71" s="3"/>
      <c r="Z71" s="3"/>
    </row>
    <row r="72" spans="1:26" ht="15.75" customHeight="1">
      <c r="A72" s="29">
        <v>82</v>
      </c>
      <c r="B72" s="25" t="s">
        <v>546</v>
      </c>
      <c r="C72" s="29">
        <v>46</v>
      </c>
      <c r="D72" s="30" t="s">
        <v>812</v>
      </c>
      <c r="E72" s="31" t="s">
        <v>813</v>
      </c>
      <c r="F72" s="31" t="s">
        <v>814</v>
      </c>
      <c r="G72" s="31" t="s">
        <v>132</v>
      </c>
      <c r="H72" s="31" t="s">
        <v>684</v>
      </c>
      <c r="I72" s="31" t="s">
        <v>815</v>
      </c>
      <c r="J72" s="31" t="s">
        <v>816</v>
      </c>
      <c r="K72" s="31" t="s">
        <v>505</v>
      </c>
      <c r="L72" s="31" t="s">
        <v>84</v>
      </c>
      <c r="M72" s="31" t="s">
        <v>817</v>
      </c>
      <c r="N72" s="31" t="s">
        <v>28</v>
      </c>
      <c r="O72" s="32" t="s">
        <v>818</v>
      </c>
      <c r="P72" s="31" t="s">
        <v>819</v>
      </c>
      <c r="Q72" s="15" t="s">
        <v>139</v>
      </c>
      <c r="R72" s="16" t="s">
        <v>820</v>
      </c>
      <c r="S72" s="3"/>
      <c r="T72" s="3"/>
      <c r="U72" s="3"/>
      <c r="V72" s="3"/>
      <c r="W72" s="3"/>
      <c r="X72" s="3"/>
      <c r="Y72" s="3"/>
      <c r="Z72" s="3"/>
    </row>
    <row r="73" spans="1:26" ht="15.75" customHeight="1">
      <c r="A73" s="24">
        <v>83</v>
      </c>
      <c r="B73" s="25" t="s">
        <v>546</v>
      </c>
      <c r="C73" s="24">
        <v>48</v>
      </c>
      <c r="D73" s="26" t="s">
        <v>821</v>
      </c>
      <c r="E73" s="27" t="s">
        <v>822</v>
      </c>
      <c r="F73" s="27" t="s">
        <v>823</v>
      </c>
      <c r="G73" s="27" t="s">
        <v>641</v>
      </c>
      <c r="H73" s="27" t="s">
        <v>684</v>
      </c>
      <c r="I73" s="27" t="s">
        <v>603</v>
      </c>
      <c r="J73" s="27" t="s">
        <v>824</v>
      </c>
      <c r="K73" s="27" t="s">
        <v>28</v>
      </c>
      <c r="L73" s="27" t="s">
        <v>38</v>
      </c>
      <c r="M73" s="27" t="s">
        <v>28</v>
      </c>
      <c r="N73" s="27" t="s">
        <v>28</v>
      </c>
      <c r="O73" s="28" t="s">
        <v>825</v>
      </c>
      <c r="P73" s="27" t="s">
        <v>826</v>
      </c>
      <c r="Q73" s="9" t="s">
        <v>31</v>
      </c>
      <c r="R73" s="10" t="s">
        <v>825</v>
      </c>
      <c r="S73" s="3"/>
      <c r="T73" s="3"/>
      <c r="U73" s="3"/>
      <c r="V73" s="3"/>
      <c r="W73" s="3"/>
      <c r="X73" s="3"/>
      <c r="Y73" s="3"/>
      <c r="Z73" s="3"/>
    </row>
    <row r="74" spans="1:26" ht="15.75" customHeight="1">
      <c r="A74" s="29">
        <v>84</v>
      </c>
      <c r="B74" s="25" t="s">
        <v>546</v>
      </c>
      <c r="C74" s="29">
        <v>50</v>
      </c>
      <c r="D74" s="30" t="s">
        <v>827</v>
      </c>
      <c r="E74" s="31" t="s">
        <v>828</v>
      </c>
      <c r="F74" s="31" t="s">
        <v>829</v>
      </c>
      <c r="G74" s="31" t="s">
        <v>132</v>
      </c>
      <c r="H74" s="31" t="s">
        <v>630</v>
      </c>
      <c r="I74" s="31" t="s">
        <v>830</v>
      </c>
      <c r="J74" s="31" t="s">
        <v>831</v>
      </c>
      <c r="K74" s="31" t="s">
        <v>168</v>
      </c>
      <c r="L74" s="31" t="s">
        <v>832</v>
      </c>
      <c r="M74" s="31" t="s">
        <v>28</v>
      </c>
      <c r="N74" s="31" t="s">
        <v>833</v>
      </c>
      <c r="O74" s="32" t="s">
        <v>834</v>
      </c>
      <c r="P74" s="31" t="s">
        <v>835</v>
      </c>
      <c r="Q74" s="15" t="s">
        <v>139</v>
      </c>
      <c r="R74" s="16" t="s">
        <v>836</v>
      </c>
      <c r="S74" s="3"/>
      <c r="T74" s="3"/>
      <c r="U74" s="3"/>
      <c r="V74" s="3"/>
      <c r="W74" s="3"/>
      <c r="X74" s="3"/>
      <c r="Y74" s="3"/>
      <c r="Z74" s="3"/>
    </row>
    <row r="75" spans="1:26" ht="15.75" customHeight="1">
      <c r="A75" s="29">
        <v>86</v>
      </c>
      <c r="B75" s="25" t="s">
        <v>546</v>
      </c>
      <c r="C75" s="29">
        <v>61</v>
      </c>
      <c r="D75" s="30" t="s">
        <v>841</v>
      </c>
      <c r="E75" s="31" t="s">
        <v>842</v>
      </c>
      <c r="F75" s="31" t="s">
        <v>843</v>
      </c>
      <c r="G75" s="31" t="s">
        <v>374</v>
      </c>
      <c r="H75" s="31" t="s">
        <v>556</v>
      </c>
      <c r="I75" s="31" t="s">
        <v>603</v>
      </c>
      <c r="J75" s="31" t="s">
        <v>614</v>
      </c>
      <c r="K75" s="31" t="s">
        <v>844</v>
      </c>
      <c r="L75" s="31" t="s">
        <v>845</v>
      </c>
      <c r="M75" s="31" t="s">
        <v>846</v>
      </c>
      <c r="N75" s="31" t="s">
        <v>847</v>
      </c>
      <c r="O75" s="32" t="s">
        <v>848</v>
      </c>
      <c r="P75" s="31" t="s">
        <v>849</v>
      </c>
      <c r="Q75" s="9" t="s">
        <v>31</v>
      </c>
      <c r="R75" s="10" t="s">
        <v>848</v>
      </c>
      <c r="S75" s="3"/>
      <c r="T75" s="3"/>
      <c r="U75" s="3"/>
      <c r="V75" s="3"/>
      <c r="W75" s="3"/>
      <c r="X75" s="3"/>
      <c r="Y75" s="3"/>
      <c r="Z75" s="3"/>
    </row>
    <row r="76" spans="1:26" ht="15.75" customHeight="1">
      <c r="A76" s="24">
        <v>87</v>
      </c>
      <c r="B76" s="25" t="s">
        <v>546</v>
      </c>
      <c r="C76" s="24">
        <v>64</v>
      </c>
      <c r="D76" s="26" t="s">
        <v>850</v>
      </c>
      <c r="E76" s="27" t="s">
        <v>851</v>
      </c>
      <c r="F76" s="27" t="s">
        <v>852</v>
      </c>
      <c r="G76" s="27" t="s">
        <v>374</v>
      </c>
      <c r="H76" s="27" t="s">
        <v>684</v>
      </c>
      <c r="I76" s="27" t="s">
        <v>603</v>
      </c>
      <c r="J76" s="27" t="s">
        <v>853</v>
      </c>
      <c r="K76" s="27" t="s">
        <v>559</v>
      </c>
      <c r="L76" s="27" t="s">
        <v>854</v>
      </c>
      <c r="M76" s="27" t="s">
        <v>855</v>
      </c>
      <c r="N76" s="27" t="s">
        <v>856</v>
      </c>
      <c r="O76" s="28" t="s">
        <v>857</v>
      </c>
      <c r="P76" s="27" t="s">
        <v>858</v>
      </c>
      <c r="Q76" s="9" t="s">
        <v>31</v>
      </c>
      <c r="R76" s="10" t="s">
        <v>857</v>
      </c>
      <c r="S76" s="3"/>
      <c r="T76" s="3"/>
      <c r="U76" s="3"/>
      <c r="V76" s="3"/>
      <c r="W76" s="3"/>
      <c r="X76" s="3"/>
      <c r="Y76" s="3"/>
      <c r="Z76" s="3"/>
    </row>
    <row r="77" spans="1:26" ht="15.75" customHeight="1">
      <c r="A77" s="29">
        <v>88</v>
      </c>
      <c r="B77" s="25" t="s">
        <v>546</v>
      </c>
      <c r="C77" s="29">
        <v>66</v>
      </c>
      <c r="D77" s="30" t="s">
        <v>859</v>
      </c>
      <c r="E77" s="31" t="s">
        <v>860</v>
      </c>
      <c r="F77" s="31" t="s">
        <v>861</v>
      </c>
      <c r="G77" s="31" t="s">
        <v>374</v>
      </c>
      <c r="H77" s="31" t="s">
        <v>556</v>
      </c>
      <c r="I77" s="31" t="s">
        <v>603</v>
      </c>
      <c r="J77" s="31" t="s">
        <v>862</v>
      </c>
      <c r="K77" s="31" t="s">
        <v>146</v>
      </c>
      <c r="L77" s="31" t="s">
        <v>863</v>
      </c>
      <c r="M77" s="31" t="s">
        <v>864</v>
      </c>
      <c r="N77" s="31" t="s">
        <v>865</v>
      </c>
      <c r="O77" s="32" t="s">
        <v>866</v>
      </c>
      <c r="P77" s="31" t="s">
        <v>867</v>
      </c>
      <c r="Q77" s="9" t="s">
        <v>31</v>
      </c>
      <c r="R77" s="10" t="s">
        <v>866</v>
      </c>
      <c r="S77" s="3"/>
      <c r="T77" s="3"/>
      <c r="U77" s="3"/>
      <c r="V77" s="3"/>
      <c r="W77" s="3"/>
      <c r="X77" s="3"/>
      <c r="Y77" s="3"/>
      <c r="Z77" s="3"/>
    </row>
    <row r="78" spans="1:26" ht="15.75" customHeight="1">
      <c r="A78" s="72"/>
      <c r="B78" s="73" t="s">
        <v>224</v>
      </c>
      <c r="C78" s="72">
        <v>1</v>
      </c>
      <c r="D78" s="74">
        <v>1</v>
      </c>
      <c r="E78" s="75" t="s">
        <v>868</v>
      </c>
      <c r="F78" s="75" t="s">
        <v>869</v>
      </c>
      <c r="G78" s="75" t="s">
        <v>870</v>
      </c>
      <c r="H78" s="75" t="s">
        <v>556</v>
      </c>
      <c r="I78" s="75" t="s">
        <v>871</v>
      </c>
      <c r="J78" s="75" t="s">
        <v>962</v>
      </c>
      <c r="K78" s="75" t="s">
        <v>873</v>
      </c>
      <c r="L78" s="75" t="s">
        <v>874</v>
      </c>
      <c r="M78" s="76" t="s">
        <v>28</v>
      </c>
      <c r="N78" s="76" t="s">
        <v>28</v>
      </c>
      <c r="O78" s="77" t="s">
        <v>876</v>
      </c>
      <c r="P78" s="76" t="s">
        <v>875</v>
      </c>
      <c r="Q78" s="78" t="s">
        <v>224</v>
      </c>
      <c r="R78" s="79" t="s">
        <v>876</v>
      </c>
      <c r="S78" s="80"/>
      <c r="T78" s="80"/>
      <c r="U78" s="80"/>
      <c r="V78" s="80"/>
      <c r="W78" s="80"/>
      <c r="X78" s="80"/>
      <c r="Y78" s="80"/>
      <c r="Z78" s="80"/>
    </row>
    <row r="79" spans="1:26" ht="15.75" customHeight="1">
      <c r="A79" s="50"/>
      <c r="B79" s="73" t="s">
        <v>224</v>
      </c>
      <c r="C79" s="72">
        <v>2</v>
      </c>
      <c r="D79" s="74" t="s">
        <v>877</v>
      </c>
      <c r="E79" s="75" t="s">
        <v>878</v>
      </c>
      <c r="F79" s="75" t="s">
        <v>879</v>
      </c>
      <c r="G79" s="75" t="s">
        <v>35</v>
      </c>
      <c r="H79" s="75" t="s">
        <v>547</v>
      </c>
      <c r="I79" s="75" t="s">
        <v>880</v>
      </c>
      <c r="J79" s="75" t="s">
        <v>881</v>
      </c>
      <c r="K79" s="75" t="s">
        <v>514</v>
      </c>
      <c r="L79" s="75" t="s">
        <v>882</v>
      </c>
      <c r="M79" s="81" t="s">
        <v>963</v>
      </c>
      <c r="N79" s="81" t="s">
        <v>964</v>
      </c>
      <c r="O79" s="82" t="s">
        <v>965</v>
      </c>
      <c r="P79" s="75" t="s">
        <v>883</v>
      </c>
      <c r="Q79" s="83"/>
      <c r="R79" s="75" t="s">
        <v>884</v>
      </c>
      <c r="S79" s="3"/>
      <c r="T79" s="3"/>
      <c r="U79" s="3"/>
      <c r="V79" s="3"/>
      <c r="W79" s="3"/>
      <c r="X79" s="3"/>
      <c r="Y79" s="3"/>
      <c r="Z79" s="3"/>
    </row>
    <row r="80" spans="1:26" ht="15.75" customHeight="1">
      <c r="A80" s="50"/>
      <c r="B80" s="73" t="s">
        <v>224</v>
      </c>
      <c r="C80" s="72">
        <v>4</v>
      </c>
      <c r="D80" s="74" t="s">
        <v>588</v>
      </c>
      <c r="E80" s="75" t="s">
        <v>891</v>
      </c>
      <c r="F80" s="75" t="s">
        <v>590</v>
      </c>
      <c r="G80" s="75" t="s">
        <v>591</v>
      </c>
      <c r="H80" s="75" t="s">
        <v>592</v>
      </c>
      <c r="I80" s="75" t="s">
        <v>892</v>
      </c>
      <c r="J80" s="75" t="s">
        <v>893</v>
      </c>
      <c r="K80" s="75" t="s">
        <v>398</v>
      </c>
      <c r="L80" s="75" t="s">
        <v>894</v>
      </c>
      <c r="M80" s="81" t="s">
        <v>596</v>
      </c>
      <c r="N80" s="81" t="s">
        <v>28</v>
      </c>
      <c r="O80" s="82" t="s">
        <v>597</v>
      </c>
      <c r="P80" s="75" t="s">
        <v>895</v>
      </c>
      <c r="Q80" s="9" t="s">
        <v>224</v>
      </c>
      <c r="R80" s="75" t="s">
        <v>896</v>
      </c>
      <c r="S80" s="3"/>
      <c r="T80" s="3"/>
      <c r="U80" s="3"/>
      <c r="V80" s="3"/>
      <c r="W80" s="3"/>
      <c r="X80" s="3"/>
      <c r="Y80" s="3"/>
      <c r="Z80" s="3"/>
    </row>
    <row r="81" spans="1:26" ht="15.75" customHeight="1">
      <c r="A81" s="50"/>
      <c r="B81" s="73" t="s">
        <v>224</v>
      </c>
      <c r="C81" s="72">
        <v>5</v>
      </c>
      <c r="D81" s="74">
        <v>5</v>
      </c>
      <c r="E81" s="75" t="s">
        <v>897</v>
      </c>
      <c r="F81" s="75" t="s">
        <v>898</v>
      </c>
      <c r="G81" s="75" t="s">
        <v>870</v>
      </c>
      <c r="H81" s="75" t="s">
        <v>556</v>
      </c>
      <c r="I81" s="75" t="s">
        <v>899</v>
      </c>
      <c r="J81" s="75" t="s">
        <v>900</v>
      </c>
      <c r="K81" s="75" t="s">
        <v>505</v>
      </c>
      <c r="L81" s="75" t="s">
        <v>901</v>
      </c>
      <c r="M81" s="81" t="s">
        <v>28</v>
      </c>
      <c r="N81" s="81" t="s">
        <v>28</v>
      </c>
      <c r="O81" s="82" t="s">
        <v>654</v>
      </c>
      <c r="P81" s="75" t="s">
        <v>902</v>
      </c>
      <c r="Q81" s="15" t="s">
        <v>224</v>
      </c>
      <c r="R81" s="75" t="s">
        <v>656</v>
      </c>
      <c r="S81" s="3"/>
      <c r="T81" s="3"/>
      <c r="U81" s="3"/>
      <c r="V81" s="3"/>
      <c r="W81" s="3"/>
      <c r="X81" s="3"/>
      <c r="Y81" s="3"/>
      <c r="Z81" s="3"/>
    </row>
    <row r="82" spans="1:26" ht="15.75" customHeight="1">
      <c r="A82" s="50"/>
      <c r="B82" s="73" t="s">
        <v>224</v>
      </c>
      <c r="C82" s="72">
        <v>8</v>
      </c>
      <c r="D82" s="74" t="s">
        <v>903</v>
      </c>
      <c r="E82" s="75" t="s">
        <v>904</v>
      </c>
      <c r="F82" s="75" t="s">
        <v>905</v>
      </c>
      <c r="G82" s="75" t="s">
        <v>477</v>
      </c>
      <c r="H82" s="75" t="s">
        <v>684</v>
      </c>
      <c r="I82" s="75" t="s">
        <v>906</v>
      </c>
      <c r="J82" s="75" t="s">
        <v>907</v>
      </c>
      <c r="K82" s="75" t="s">
        <v>505</v>
      </c>
      <c r="L82" s="75" t="s">
        <v>908</v>
      </c>
      <c r="M82" s="81" t="s">
        <v>28</v>
      </c>
      <c r="N82" s="81" t="s">
        <v>28</v>
      </c>
      <c r="O82" s="82" t="s">
        <v>506</v>
      </c>
      <c r="P82" s="75" t="s">
        <v>909</v>
      </c>
      <c r="Q82" s="9" t="s">
        <v>508</v>
      </c>
      <c r="R82" s="75" t="s">
        <v>506</v>
      </c>
      <c r="S82" s="3"/>
      <c r="T82" s="3"/>
      <c r="U82" s="3"/>
      <c r="V82" s="3"/>
      <c r="W82" s="3"/>
      <c r="X82" s="3"/>
      <c r="Y82" s="3"/>
      <c r="Z82" s="3"/>
    </row>
    <row r="83" spans="1:26" ht="15.75" customHeight="1">
      <c r="A83" s="50"/>
      <c r="B83" s="73" t="s">
        <v>224</v>
      </c>
      <c r="C83" s="72">
        <v>11</v>
      </c>
      <c r="D83" s="74" t="s">
        <v>672</v>
      </c>
      <c r="E83" s="75" t="s">
        <v>910</v>
      </c>
      <c r="F83" s="75" t="s">
        <v>911</v>
      </c>
      <c r="G83" s="75" t="s">
        <v>912</v>
      </c>
      <c r="H83" s="75" t="s">
        <v>630</v>
      </c>
      <c r="I83" s="75" t="s">
        <v>913</v>
      </c>
      <c r="J83" s="75" t="s">
        <v>914</v>
      </c>
      <c r="K83" s="75" t="s">
        <v>915</v>
      </c>
      <c r="L83" s="75" t="s">
        <v>916</v>
      </c>
      <c r="M83" s="81" t="s">
        <v>966</v>
      </c>
      <c r="N83" s="81" t="s">
        <v>28</v>
      </c>
      <c r="O83" s="82" t="s">
        <v>967</v>
      </c>
      <c r="P83" s="75" t="s">
        <v>917</v>
      </c>
      <c r="Q83" s="15" t="s">
        <v>224</v>
      </c>
      <c r="R83" s="75" t="s">
        <v>918</v>
      </c>
      <c r="S83" s="3"/>
      <c r="T83" s="3"/>
      <c r="U83" s="3"/>
      <c r="V83" s="3"/>
      <c r="W83" s="3"/>
      <c r="X83" s="3"/>
      <c r="Y83" s="3"/>
      <c r="Z83" s="3"/>
    </row>
    <row r="84" spans="1:26" ht="15.75" customHeight="1">
      <c r="A84" s="50"/>
      <c r="B84" s="73" t="s">
        <v>224</v>
      </c>
      <c r="C84" s="72">
        <v>12</v>
      </c>
      <c r="D84" s="74" t="s">
        <v>919</v>
      </c>
      <c r="E84" s="75" t="s">
        <v>920</v>
      </c>
      <c r="F84" s="75" t="s">
        <v>921</v>
      </c>
      <c r="G84" s="75" t="s">
        <v>922</v>
      </c>
      <c r="H84" s="75" t="s">
        <v>556</v>
      </c>
      <c r="I84" s="75" t="s">
        <v>923</v>
      </c>
      <c r="J84" s="75" t="s">
        <v>924</v>
      </c>
      <c r="K84" s="75" t="s">
        <v>505</v>
      </c>
      <c r="L84" s="75" t="s">
        <v>925</v>
      </c>
      <c r="M84" s="81" t="s">
        <v>28</v>
      </c>
      <c r="N84" s="81" t="s">
        <v>28</v>
      </c>
      <c r="O84" s="82" t="s">
        <v>968</v>
      </c>
      <c r="P84" s="75" t="s">
        <v>926</v>
      </c>
      <c r="Q84" s="9" t="s">
        <v>224</v>
      </c>
      <c r="R84" s="75" t="s">
        <v>927</v>
      </c>
      <c r="S84" s="3"/>
      <c r="T84" s="3"/>
      <c r="U84" s="3"/>
      <c r="V84" s="3"/>
      <c r="W84" s="3"/>
      <c r="X84" s="3"/>
      <c r="Y84" s="3"/>
      <c r="Z84" s="3"/>
    </row>
    <row r="85" spans="1:26" ht="15.75" customHeight="1">
      <c r="A85" s="50"/>
      <c r="B85" s="73" t="s">
        <v>224</v>
      </c>
      <c r="C85" s="72">
        <v>19</v>
      </c>
      <c r="D85" s="74" t="s">
        <v>928</v>
      </c>
      <c r="E85" s="75" t="s">
        <v>929</v>
      </c>
      <c r="F85" s="75" t="s">
        <v>930</v>
      </c>
      <c r="G85" s="75" t="s">
        <v>931</v>
      </c>
      <c r="H85" s="75" t="s">
        <v>566</v>
      </c>
      <c r="I85" s="75" t="s">
        <v>932</v>
      </c>
      <c r="J85" s="75" t="s">
        <v>933</v>
      </c>
      <c r="K85" s="75" t="s">
        <v>168</v>
      </c>
      <c r="L85" s="75" t="s">
        <v>934</v>
      </c>
      <c r="M85" s="81" t="s">
        <v>969</v>
      </c>
      <c r="N85" s="81" t="s">
        <v>28</v>
      </c>
      <c r="O85" s="82" t="s">
        <v>970</v>
      </c>
      <c r="P85" s="75" t="s">
        <v>935</v>
      </c>
      <c r="Q85" s="9" t="s">
        <v>971</v>
      </c>
      <c r="R85" s="75" t="s">
        <v>936</v>
      </c>
      <c r="S85" s="3"/>
      <c r="T85" s="3"/>
      <c r="U85" s="3"/>
      <c r="V85" s="3"/>
      <c r="W85" s="3"/>
      <c r="X85" s="3"/>
      <c r="Y85" s="3"/>
      <c r="Z85" s="3"/>
    </row>
    <row r="86" spans="1:26" ht="15.75" customHeight="1">
      <c r="A86" s="50"/>
      <c r="B86" s="73" t="s">
        <v>224</v>
      </c>
      <c r="C86" s="72">
        <v>21</v>
      </c>
      <c r="D86" s="74" t="s">
        <v>937</v>
      </c>
      <c r="E86" s="75" t="s">
        <v>938</v>
      </c>
      <c r="F86" s="75" t="s">
        <v>939</v>
      </c>
      <c r="G86" s="75" t="s">
        <v>940</v>
      </c>
      <c r="H86" s="75" t="s">
        <v>556</v>
      </c>
      <c r="I86" s="75" t="s">
        <v>941</v>
      </c>
      <c r="J86" s="75" t="s">
        <v>942</v>
      </c>
      <c r="K86" s="75" t="s">
        <v>220</v>
      </c>
      <c r="L86" s="75" t="s">
        <v>943</v>
      </c>
      <c r="M86" s="81" t="s">
        <v>28</v>
      </c>
      <c r="N86" s="81" t="s">
        <v>28</v>
      </c>
      <c r="O86" s="82" t="s">
        <v>945</v>
      </c>
      <c r="P86" s="75" t="s">
        <v>944</v>
      </c>
      <c r="Q86" s="9" t="s">
        <v>224</v>
      </c>
      <c r="R86" s="75" t="s">
        <v>945</v>
      </c>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S1000" s="3"/>
      <c r="T1000" s="3"/>
      <c r="U1000" s="3"/>
      <c r="V1000" s="3"/>
      <c r="W1000" s="3"/>
      <c r="X1000" s="3"/>
      <c r="Y1000" s="3"/>
      <c r="Z1000" s="3"/>
    </row>
  </sheetData>
  <hyperlinks>
    <hyperlink ref="O78" r:id="rId1" xr:uid="{00000000-0004-0000-0200-000000000000}"/>
    <hyperlink ref="R78" r:id="rId2" xr:uid="{00000000-0004-0000-0200-000001000000}"/>
    <hyperlink ref="O79" r:id="rId3" xr:uid="{00000000-0004-0000-0200-000002000000}"/>
    <hyperlink ref="O80" r:id="rId4" xr:uid="{00000000-0004-0000-0200-000003000000}"/>
    <hyperlink ref="O81" r:id="rId5" xr:uid="{00000000-0004-0000-0200-000004000000}"/>
    <hyperlink ref="O82" r:id="rId6" xr:uid="{00000000-0004-0000-0200-000005000000}"/>
    <hyperlink ref="O83" r:id="rId7" xr:uid="{00000000-0004-0000-0200-000006000000}"/>
    <hyperlink ref="O84" r:id="rId8" xr:uid="{00000000-0004-0000-0200-000007000000}"/>
    <hyperlink ref="O85" r:id="rId9" xr:uid="{00000000-0004-0000-0200-000008000000}"/>
    <hyperlink ref="O86" r:id="rId10" xr:uid="{00000000-0004-0000-0200-000009000000}"/>
  </hyperlink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2" topLeftCell="A3" activePane="bottomLeft" state="frozen"/>
      <selection pane="bottomLeft" activeCell="B4" sqref="B4"/>
    </sheetView>
  </sheetViews>
  <sheetFormatPr defaultColWidth="14.42578125" defaultRowHeight="15" customHeight="1"/>
  <cols>
    <col min="1" max="1" width="30" customWidth="1"/>
    <col min="2" max="2" width="10" customWidth="1"/>
    <col min="3" max="3" width="54" customWidth="1"/>
    <col min="4" max="4" width="38" customWidth="1"/>
    <col min="5" max="5" width="28" customWidth="1"/>
    <col min="6" max="6" width="8" customWidth="1"/>
    <col min="7" max="7" width="62" customWidth="1"/>
    <col min="8" max="26" width="8.7109375" customWidth="1"/>
  </cols>
  <sheetData>
    <row r="1" spans="1:26" ht="25.5" customHeight="1">
      <c r="A1" s="352"/>
      <c r="B1" s="353"/>
      <c r="C1" s="353"/>
      <c r="D1" s="353"/>
      <c r="E1" s="353"/>
      <c r="F1" s="353"/>
      <c r="G1" s="354"/>
      <c r="H1" s="84"/>
      <c r="I1" s="84" t="s">
        <v>1353</v>
      </c>
      <c r="J1" s="84"/>
      <c r="K1" s="84"/>
      <c r="L1" s="84"/>
      <c r="M1" s="84"/>
      <c r="N1" s="84"/>
      <c r="O1" s="84"/>
      <c r="P1" s="84"/>
      <c r="Q1" s="84"/>
      <c r="R1" s="84"/>
      <c r="S1" s="84"/>
      <c r="T1" s="84"/>
      <c r="U1" s="84"/>
      <c r="V1" s="84"/>
      <c r="W1" s="84"/>
      <c r="X1" s="84"/>
      <c r="Y1" s="84"/>
      <c r="Z1" s="84"/>
    </row>
    <row r="2" spans="1:26" ht="18" customHeight="1">
      <c r="A2" s="85" t="s">
        <v>972</v>
      </c>
      <c r="B2" s="85" t="s">
        <v>973</v>
      </c>
      <c r="C2" s="85" t="s">
        <v>4</v>
      </c>
      <c r="D2" s="85" t="s">
        <v>5</v>
      </c>
      <c r="E2" s="85" t="s">
        <v>6</v>
      </c>
      <c r="F2" s="85" t="s">
        <v>974</v>
      </c>
      <c r="G2" s="85" t="s">
        <v>15</v>
      </c>
      <c r="H2" s="84"/>
      <c r="I2" s="84"/>
      <c r="J2" s="84"/>
      <c r="K2" s="84"/>
      <c r="L2" s="84"/>
      <c r="M2" s="84"/>
      <c r="N2" s="84"/>
      <c r="O2" s="84"/>
      <c r="P2" s="84"/>
      <c r="Q2" s="84"/>
      <c r="R2" s="84"/>
      <c r="S2" s="84"/>
      <c r="T2" s="84"/>
      <c r="U2" s="84"/>
      <c r="V2" s="84"/>
      <c r="W2" s="84"/>
      <c r="X2" s="84"/>
      <c r="Y2" s="84"/>
      <c r="Z2" s="84"/>
    </row>
    <row r="3" spans="1:26" ht="19.5" customHeight="1">
      <c r="A3" s="355" t="s">
        <v>1477</v>
      </c>
      <c r="B3" s="349"/>
      <c r="C3" s="349"/>
      <c r="D3" s="349"/>
      <c r="E3" s="349"/>
      <c r="F3" s="349"/>
      <c r="G3" s="350"/>
      <c r="H3" s="84"/>
      <c r="I3" s="84"/>
      <c r="J3" s="84"/>
      <c r="K3" s="84"/>
      <c r="L3" s="84"/>
      <c r="M3" s="84"/>
      <c r="N3" s="84"/>
      <c r="O3" s="84"/>
      <c r="P3" s="84"/>
      <c r="Q3" s="84"/>
      <c r="R3" s="84"/>
      <c r="S3" s="84"/>
      <c r="T3" s="84"/>
      <c r="U3" s="84"/>
      <c r="V3" s="84"/>
      <c r="W3" s="84"/>
      <c r="X3" s="84"/>
      <c r="Y3" s="84"/>
      <c r="Z3" s="84"/>
    </row>
    <row r="4" spans="1:26" ht="42" customHeight="1">
      <c r="A4" s="86" t="s">
        <v>975</v>
      </c>
      <c r="B4" s="86" t="s">
        <v>976</v>
      </c>
      <c r="C4" s="86" t="s">
        <v>803</v>
      </c>
      <c r="D4" s="86" t="s">
        <v>804</v>
      </c>
      <c r="E4" s="86" t="s">
        <v>132</v>
      </c>
      <c r="F4" s="86">
        <v>2024</v>
      </c>
      <c r="G4" s="86" t="s">
        <v>811</v>
      </c>
      <c r="H4" s="84"/>
      <c r="I4" s="84"/>
      <c r="J4" s="84"/>
      <c r="K4" s="84"/>
      <c r="L4" s="84"/>
      <c r="M4" s="84"/>
      <c r="N4" s="84"/>
      <c r="O4" s="84"/>
      <c r="P4" s="84"/>
      <c r="Q4" s="84"/>
      <c r="R4" s="84"/>
      <c r="S4" s="84"/>
      <c r="T4" s="84"/>
      <c r="U4" s="84"/>
      <c r="V4" s="84"/>
      <c r="W4" s="84"/>
      <c r="X4" s="84"/>
      <c r="Y4" s="84"/>
      <c r="Z4" s="84"/>
    </row>
    <row r="5" spans="1:26" ht="42" customHeight="1">
      <c r="A5" s="86" t="s">
        <v>975</v>
      </c>
      <c r="B5" s="86" t="s">
        <v>977</v>
      </c>
      <c r="C5" s="86" t="s">
        <v>828</v>
      </c>
      <c r="D5" s="86" t="s">
        <v>829</v>
      </c>
      <c r="E5" s="86" t="s">
        <v>132</v>
      </c>
      <c r="F5" s="86">
        <v>2022</v>
      </c>
      <c r="G5" s="86" t="s">
        <v>835</v>
      </c>
      <c r="H5" s="84"/>
      <c r="I5" s="84"/>
      <c r="J5" s="84"/>
      <c r="K5" s="84"/>
      <c r="L5" s="84"/>
      <c r="M5" s="84"/>
      <c r="N5" s="84"/>
      <c r="O5" s="84"/>
      <c r="P5" s="84"/>
      <c r="Q5" s="84"/>
      <c r="R5" s="84"/>
      <c r="S5" s="84"/>
      <c r="T5" s="84"/>
      <c r="U5" s="84"/>
      <c r="V5" s="84"/>
      <c r="W5" s="84"/>
      <c r="X5" s="84"/>
      <c r="Y5" s="84"/>
      <c r="Z5" s="84"/>
    </row>
    <row r="6" spans="1:26" ht="42" customHeight="1">
      <c r="A6" s="86" t="s">
        <v>975</v>
      </c>
      <c r="B6" s="86" t="s">
        <v>398</v>
      </c>
      <c r="C6" s="86" t="s">
        <v>978</v>
      </c>
      <c r="D6" s="86" t="s">
        <v>979</v>
      </c>
      <c r="E6" s="86" t="s">
        <v>132</v>
      </c>
      <c r="F6" s="86">
        <v>2025</v>
      </c>
      <c r="G6" s="86" t="s">
        <v>980</v>
      </c>
      <c r="H6" s="84"/>
      <c r="I6" s="84"/>
      <c r="J6" s="84"/>
      <c r="K6" s="84"/>
      <c r="L6" s="84"/>
      <c r="M6" s="84"/>
      <c r="N6" s="84"/>
      <c r="O6" s="84"/>
      <c r="P6" s="84"/>
      <c r="Q6" s="84"/>
      <c r="R6" s="84"/>
      <c r="S6" s="84"/>
      <c r="T6" s="84"/>
      <c r="U6" s="84"/>
      <c r="V6" s="84"/>
      <c r="W6" s="84"/>
      <c r="X6" s="84"/>
      <c r="Y6" s="84"/>
      <c r="Z6" s="84"/>
    </row>
    <row r="7" spans="1:26" ht="42" customHeight="1">
      <c r="A7" s="86" t="s">
        <v>975</v>
      </c>
      <c r="B7" s="86" t="s">
        <v>981</v>
      </c>
      <c r="C7" s="86" t="s">
        <v>982</v>
      </c>
      <c r="D7" s="86" t="s">
        <v>778</v>
      </c>
      <c r="E7" s="86" t="s">
        <v>132</v>
      </c>
      <c r="F7" s="86">
        <v>2026</v>
      </c>
      <c r="G7" s="86" t="s">
        <v>983</v>
      </c>
      <c r="H7" s="84"/>
      <c r="I7" s="84"/>
      <c r="J7" s="84"/>
      <c r="K7" s="84"/>
      <c r="L7" s="84"/>
      <c r="M7" s="84"/>
      <c r="N7" s="84"/>
      <c r="O7" s="84"/>
      <c r="P7" s="84"/>
      <c r="Q7" s="84"/>
      <c r="R7" s="84"/>
      <c r="S7" s="84"/>
      <c r="T7" s="84"/>
      <c r="U7" s="84"/>
      <c r="V7" s="84"/>
      <c r="W7" s="84"/>
      <c r="X7" s="84"/>
      <c r="Y7" s="84"/>
      <c r="Z7" s="84"/>
    </row>
    <row r="8" spans="1:26" ht="42" customHeight="1">
      <c r="A8" s="86" t="s">
        <v>975</v>
      </c>
      <c r="B8" s="86" t="s">
        <v>984</v>
      </c>
      <c r="C8" s="86" t="s">
        <v>842</v>
      </c>
      <c r="D8" s="86" t="s">
        <v>843</v>
      </c>
      <c r="E8" s="86" t="s">
        <v>374</v>
      </c>
      <c r="F8" s="86">
        <v>2025</v>
      </c>
      <c r="G8" s="86" t="s">
        <v>985</v>
      </c>
      <c r="H8" s="84"/>
      <c r="I8" s="84"/>
      <c r="J8" s="84"/>
      <c r="K8" s="84"/>
      <c r="L8" s="84"/>
      <c r="M8" s="84"/>
      <c r="N8" s="84"/>
      <c r="O8" s="84"/>
      <c r="P8" s="84"/>
      <c r="Q8" s="84"/>
      <c r="R8" s="84"/>
      <c r="S8" s="84"/>
      <c r="T8" s="84"/>
      <c r="U8" s="84"/>
      <c r="V8" s="84"/>
      <c r="W8" s="84"/>
      <c r="X8" s="84"/>
      <c r="Y8" s="84"/>
      <c r="Z8" s="84"/>
    </row>
    <row r="9" spans="1:26" ht="42" customHeight="1">
      <c r="A9" s="86" t="s">
        <v>975</v>
      </c>
      <c r="B9" s="86" t="s">
        <v>986</v>
      </c>
      <c r="C9" s="86" t="s">
        <v>987</v>
      </c>
      <c r="D9" s="86" t="s">
        <v>629</v>
      </c>
      <c r="E9" s="86" t="s">
        <v>132</v>
      </c>
      <c r="F9" s="86">
        <v>2022</v>
      </c>
      <c r="G9" s="86" t="s">
        <v>988</v>
      </c>
      <c r="H9" s="84"/>
      <c r="I9" s="84"/>
      <c r="J9" s="84"/>
      <c r="K9" s="84"/>
      <c r="L9" s="84"/>
      <c r="M9" s="84"/>
      <c r="N9" s="84"/>
      <c r="O9" s="84"/>
      <c r="P9" s="84"/>
      <c r="Q9" s="84"/>
      <c r="R9" s="84"/>
      <c r="S9" s="84"/>
      <c r="T9" s="84"/>
      <c r="U9" s="84"/>
      <c r="V9" s="84"/>
      <c r="W9" s="84"/>
      <c r="X9" s="84"/>
      <c r="Y9" s="84"/>
      <c r="Z9" s="84"/>
    </row>
    <row r="10" spans="1:26" ht="42" customHeight="1">
      <c r="A10" s="86" t="s">
        <v>975</v>
      </c>
      <c r="B10" s="86" t="s">
        <v>496</v>
      </c>
      <c r="C10" s="86" t="s">
        <v>989</v>
      </c>
      <c r="D10" s="86" t="s">
        <v>186</v>
      </c>
      <c r="E10" s="86" t="s">
        <v>132</v>
      </c>
      <c r="F10" s="86">
        <v>2023</v>
      </c>
      <c r="G10" s="86" t="s">
        <v>193</v>
      </c>
      <c r="H10" s="84"/>
      <c r="I10" s="84"/>
      <c r="J10" s="84"/>
      <c r="K10" s="84"/>
      <c r="L10" s="84"/>
      <c r="M10" s="84"/>
      <c r="N10" s="84"/>
      <c r="O10" s="84"/>
      <c r="P10" s="84"/>
      <c r="Q10" s="84"/>
      <c r="R10" s="84"/>
      <c r="S10" s="84"/>
      <c r="T10" s="84"/>
      <c r="U10" s="84"/>
      <c r="V10" s="84"/>
      <c r="W10" s="84"/>
      <c r="X10" s="84"/>
      <c r="Y10" s="84"/>
      <c r="Z10" s="84"/>
    </row>
    <row r="11" spans="1:26" ht="42" customHeight="1">
      <c r="A11" s="86" t="s">
        <v>975</v>
      </c>
      <c r="B11" s="86" t="s">
        <v>146</v>
      </c>
      <c r="C11" s="86" t="s">
        <v>196</v>
      </c>
      <c r="D11" s="86" t="s">
        <v>197</v>
      </c>
      <c r="E11" s="86" t="s">
        <v>132</v>
      </c>
      <c r="F11" s="86">
        <v>2023</v>
      </c>
      <c r="G11" s="86" t="s">
        <v>202</v>
      </c>
      <c r="H11" s="84"/>
      <c r="I11" s="84"/>
      <c r="J11" s="84"/>
      <c r="K11" s="84"/>
      <c r="L11" s="84"/>
      <c r="M11" s="84"/>
      <c r="N11" s="84"/>
      <c r="O11" s="84"/>
      <c r="P11" s="84"/>
      <c r="Q11" s="84"/>
      <c r="R11" s="84"/>
      <c r="S11" s="84"/>
      <c r="T11" s="84"/>
      <c r="U11" s="84"/>
      <c r="V11" s="84"/>
      <c r="W11" s="84"/>
      <c r="X11" s="84"/>
      <c r="Y11" s="84"/>
      <c r="Z11" s="84"/>
    </row>
    <row r="12" spans="1:26" ht="42" customHeight="1">
      <c r="A12" s="86" t="s">
        <v>975</v>
      </c>
      <c r="B12" s="86" t="s">
        <v>411</v>
      </c>
      <c r="C12" s="87" t="s">
        <v>990</v>
      </c>
      <c r="D12" s="86" t="s">
        <v>237</v>
      </c>
      <c r="E12" s="86" t="s">
        <v>132</v>
      </c>
      <c r="F12" s="86">
        <v>2023</v>
      </c>
      <c r="G12" s="87" t="s">
        <v>991</v>
      </c>
      <c r="H12" s="84"/>
      <c r="I12" s="84"/>
      <c r="J12" s="84"/>
      <c r="K12" s="84"/>
      <c r="L12" s="84"/>
      <c r="M12" s="84"/>
      <c r="N12" s="84"/>
      <c r="O12" s="84"/>
      <c r="P12" s="84"/>
      <c r="Q12" s="84"/>
      <c r="R12" s="84"/>
      <c r="S12" s="84"/>
      <c r="T12" s="84"/>
      <c r="U12" s="84"/>
      <c r="V12" s="84"/>
      <c r="W12" s="84"/>
      <c r="X12" s="84"/>
      <c r="Y12" s="84"/>
      <c r="Z12" s="84"/>
    </row>
    <row r="13" spans="1:26" ht="42" customHeight="1">
      <c r="A13" s="86" t="s">
        <v>975</v>
      </c>
      <c r="B13" s="86" t="s">
        <v>422</v>
      </c>
      <c r="C13" s="86" t="s">
        <v>992</v>
      </c>
      <c r="D13" s="86" t="s">
        <v>143</v>
      </c>
      <c r="E13" s="86" t="s">
        <v>132</v>
      </c>
      <c r="F13" s="86">
        <v>2020</v>
      </c>
      <c r="G13" s="86" t="s">
        <v>993</v>
      </c>
      <c r="H13" s="84"/>
      <c r="I13" s="84"/>
      <c r="J13" s="84"/>
      <c r="K13" s="84"/>
      <c r="L13" s="84"/>
      <c r="M13" s="84"/>
      <c r="N13" s="84"/>
      <c r="O13" s="84"/>
      <c r="P13" s="84"/>
      <c r="Q13" s="84"/>
      <c r="R13" s="84"/>
      <c r="S13" s="84"/>
      <c r="T13" s="84"/>
      <c r="U13" s="84"/>
      <c r="V13" s="84"/>
      <c r="W13" s="84"/>
      <c r="X13" s="84"/>
      <c r="Y13" s="84"/>
      <c r="Z13" s="84"/>
    </row>
    <row r="14" spans="1:26" ht="42" customHeight="1">
      <c r="A14" s="86" t="s">
        <v>975</v>
      </c>
      <c r="B14" s="86" t="s">
        <v>156</v>
      </c>
      <c r="C14" s="86" t="s">
        <v>994</v>
      </c>
      <c r="D14" s="86" t="s">
        <v>131</v>
      </c>
      <c r="E14" s="86" t="s">
        <v>132</v>
      </c>
      <c r="F14" s="86">
        <v>2019</v>
      </c>
      <c r="G14" s="86" t="s">
        <v>995</v>
      </c>
      <c r="H14" s="84"/>
      <c r="I14" s="84"/>
      <c r="J14" s="84"/>
      <c r="K14" s="84"/>
      <c r="L14" s="84"/>
      <c r="M14" s="84"/>
      <c r="N14" s="84"/>
      <c r="O14" s="84"/>
      <c r="P14" s="84"/>
      <c r="Q14" s="84"/>
      <c r="R14" s="84"/>
      <c r="S14" s="84"/>
      <c r="T14" s="84"/>
      <c r="U14" s="84"/>
      <c r="V14" s="84"/>
      <c r="W14" s="84"/>
      <c r="X14" s="84"/>
      <c r="Y14" s="84"/>
      <c r="Z14" s="84"/>
    </row>
    <row r="15" spans="1:26" ht="42" customHeight="1">
      <c r="A15" s="86" t="s">
        <v>975</v>
      </c>
      <c r="B15" s="86" t="s">
        <v>996</v>
      </c>
      <c r="C15" s="86" t="s">
        <v>997</v>
      </c>
      <c r="D15" s="86" t="s">
        <v>394</v>
      </c>
      <c r="E15" s="86" t="s">
        <v>395</v>
      </c>
      <c r="F15" s="86">
        <v>2023</v>
      </c>
      <c r="G15" s="86" t="s">
        <v>403</v>
      </c>
      <c r="H15" s="84"/>
      <c r="I15" s="84"/>
      <c r="J15" s="84"/>
      <c r="K15" s="84"/>
      <c r="L15" s="84"/>
      <c r="M15" s="84"/>
      <c r="N15" s="84"/>
      <c r="O15" s="84"/>
      <c r="P15" s="84"/>
      <c r="Q15" s="84"/>
      <c r="R15" s="84"/>
      <c r="S15" s="84"/>
      <c r="T15" s="84"/>
      <c r="U15" s="84"/>
      <c r="V15" s="84"/>
      <c r="W15" s="84"/>
      <c r="X15" s="84"/>
      <c r="Y15" s="84"/>
      <c r="Z15" s="84"/>
    </row>
    <row r="16" spans="1:26" ht="42" customHeight="1">
      <c r="A16" s="86" t="s">
        <v>975</v>
      </c>
      <c r="B16" s="86" t="s">
        <v>998</v>
      </c>
      <c r="C16" s="86" t="s">
        <v>999</v>
      </c>
      <c r="D16" s="86" t="s">
        <v>153</v>
      </c>
      <c r="E16" s="86" t="s">
        <v>132</v>
      </c>
      <c r="F16" s="86">
        <v>2020</v>
      </c>
      <c r="G16" s="86" t="s">
        <v>1000</v>
      </c>
      <c r="H16" s="84"/>
      <c r="I16" s="84"/>
      <c r="J16" s="84"/>
      <c r="K16" s="84"/>
      <c r="L16" s="84"/>
      <c r="M16" s="84"/>
      <c r="N16" s="84"/>
      <c r="O16" s="84"/>
      <c r="P16" s="84"/>
      <c r="Q16" s="84"/>
      <c r="R16" s="84"/>
      <c r="S16" s="84"/>
      <c r="T16" s="84"/>
      <c r="U16" s="84"/>
      <c r="V16" s="84"/>
      <c r="W16" s="84"/>
      <c r="X16" s="84"/>
      <c r="Y16" s="84"/>
      <c r="Z16" s="84"/>
    </row>
    <row r="17" spans="1:26" ht="42" customHeight="1">
      <c r="A17" s="86" t="s">
        <v>975</v>
      </c>
      <c r="B17" s="86" t="s">
        <v>168</v>
      </c>
      <c r="C17" s="86" t="s">
        <v>1001</v>
      </c>
      <c r="D17" s="86" t="s">
        <v>109</v>
      </c>
      <c r="E17" s="86" t="s">
        <v>110</v>
      </c>
      <c r="F17" s="86">
        <v>2025</v>
      </c>
      <c r="G17" s="86" t="s">
        <v>1002</v>
      </c>
      <c r="H17" s="84"/>
      <c r="I17" s="84"/>
      <c r="J17" s="84"/>
      <c r="K17" s="84"/>
      <c r="L17" s="84"/>
      <c r="M17" s="84"/>
      <c r="N17" s="84"/>
      <c r="O17" s="84"/>
      <c r="P17" s="84"/>
      <c r="Q17" s="84"/>
      <c r="R17" s="84"/>
      <c r="S17" s="84"/>
      <c r="T17" s="84"/>
      <c r="U17" s="84"/>
      <c r="V17" s="84"/>
      <c r="W17" s="84"/>
      <c r="X17" s="84"/>
      <c r="Y17" s="84"/>
      <c r="Z17" s="84"/>
    </row>
    <row r="18" spans="1:26" ht="42" customHeight="1">
      <c r="A18" s="86" t="s">
        <v>975</v>
      </c>
      <c r="B18" s="86" t="s">
        <v>1003</v>
      </c>
      <c r="C18" s="86" t="s">
        <v>1004</v>
      </c>
      <c r="D18" s="86" t="s">
        <v>385</v>
      </c>
      <c r="E18" s="86" t="s">
        <v>374</v>
      </c>
      <c r="F18" s="86">
        <v>2022</v>
      </c>
      <c r="G18" s="86" t="s">
        <v>1005</v>
      </c>
      <c r="H18" s="84"/>
      <c r="I18" s="84"/>
      <c r="J18" s="84"/>
      <c r="K18" s="84"/>
      <c r="L18" s="84"/>
      <c r="M18" s="84"/>
      <c r="N18" s="84"/>
      <c r="O18" s="84"/>
      <c r="P18" s="84"/>
      <c r="Q18" s="84"/>
      <c r="R18" s="84"/>
      <c r="S18" s="84"/>
      <c r="T18" s="84"/>
      <c r="U18" s="84"/>
      <c r="V18" s="84"/>
      <c r="W18" s="84"/>
      <c r="X18" s="84"/>
      <c r="Y18" s="84"/>
      <c r="Z18" s="84"/>
    </row>
    <row r="19" spans="1:26" ht="42" customHeight="1">
      <c r="A19" s="86" t="s">
        <v>975</v>
      </c>
      <c r="B19" s="86" t="s">
        <v>1006</v>
      </c>
      <c r="C19" s="86" t="s">
        <v>287</v>
      </c>
      <c r="D19" s="86" t="s">
        <v>288</v>
      </c>
      <c r="E19" s="86" t="s">
        <v>132</v>
      </c>
      <c r="F19" s="86">
        <v>2025</v>
      </c>
      <c r="G19" s="86" t="s">
        <v>1007</v>
      </c>
      <c r="H19" s="84"/>
      <c r="I19" s="84"/>
      <c r="J19" s="84"/>
      <c r="K19" s="84"/>
      <c r="L19" s="84"/>
      <c r="M19" s="84"/>
      <c r="N19" s="84"/>
      <c r="O19" s="84"/>
      <c r="P19" s="84"/>
      <c r="Q19" s="84"/>
      <c r="R19" s="84"/>
      <c r="S19" s="84"/>
      <c r="T19" s="84"/>
      <c r="U19" s="84"/>
      <c r="V19" s="84"/>
      <c r="W19" s="84"/>
      <c r="X19" s="84"/>
      <c r="Y19" s="84"/>
      <c r="Z19" s="84"/>
    </row>
    <row r="20" spans="1:26" ht="42" customHeight="1">
      <c r="A20" s="86" t="s">
        <v>975</v>
      </c>
      <c r="B20" s="86" t="s">
        <v>94</v>
      </c>
      <c r="C20" s="86" t="s">
        <v>429</v>
      </c>
      <c r="D20" s="86" t="s">
        <v>430</v>
      </c>
      <c r="E20" s="86" t="s">
        <v>431</v>
      </c>
      <c r="F20" s="86">
        <v>2020</v>
      </c>
      <c r="G20" s="86" t="s">
        <v>1008</v>
      </c>
      <c r="H20" s="84"/>
      <c r="I20" s="84"/>
      <c r="J20" s="84"/>
      <c r="K20" s="84"/>
      <c r="L20" s="84"/>
      <c r="M20" s="84"/>
      <c r="N20" s="84"/>
      <c r="O20" s="84"/>
      <c r="P20" s="84"/>
      <c r="Q20" s="84"/>
      <c r="R20" s="84"/>
      <c r="S20" s="84"/>
      <c r="T20" s="84"/>
      <c r="U20" s="84"/>
      <c r="V20" s="84"/>
      <c r="W20" s="84"/>
      <c r="X20" s="84"/>
      <c r="Y20" s="84"/>
      <c r="Z20" s="84"/>
    </row>
    <row r="21" spans="1:26" ht="42" customHeight="1">
      <c r="A21" s="86" t="s">
        <v>975</v>
      </c>
      <c r="B21" s="86" t="s">
        <v>1009</v>
      </c>
      <c r="C21" s="86" t="s">
        <v>1010</v>
      </c>
      <c r="D21" s="86" t="s">
        <v>1011</v>
      </c>
      <c r="E21" s="86" t="s">
        <v>602</v>
      </c>
      <c r="F21" s="86">
        <v>2024</v>
      </c>
      <c r="G21" s="86" t="s">
        <v>608</v>
      </c>
      <c r="H21" s="84"/>
      <c r="I21" s="84"/>
      <c r="J21" s="84"/>
      <c r="K21" s="84"/>
      <c r="L21" s="84"/>
      <c r="M21" s="84"/>
      <c r="N21" s="84"/>
      <c r="O21" s="84"/>
      <c r="P21" s="84"/>
      <c r="Q21" s="84"/>
      <c r="R21" s="84"/>
      <c r="S21" s="84"/>
      <c r="T21" s="84"/>
      <c r="U21" s="84"/>
      <c r="V21" s="84"/>
      <c r="W21" s="84"/>
      <c r="X21" s="84"/>
      <c r="Y21" s="84"/>
      <c r="Z21" s="84"/>
    </row>
    <row r="22" spans="1:26" ht="42" customHeight="1">
      <c r="A22" s="86" t="s">
        <v>975</v>
      </c>
      <c r="B22" s="86" t="s">
        <v>1012</v>
      </c>
      <c r="C22" s="86" t="s">
        <v>78</v>
      </c>
      <c r="D22" s="86" t="s">
        <v>79</v>
      </c>
      <c r="E22" s="86" t="s">
        <v>80</v>
      </c>
      <c r="F22" s="86">
        <v>2022</v>
      </c>
      <c r="G22" s="86" t="s">
        <v>1013</v>
      </c>
      <c r="H22" s="84"/>
      <c r="I22" s="84"/>
      <c r="J22" s="84"/>
      <c r="K22" s="84"/>
      <c r="L22" s="84"/>
      <c r="M22" s="84"/>
      <c r="N22" s="84"/>
      <c r="O22" s="84"/>
      <c r="P22" s="84"/>
      <c r="Q22" s="84"/>
      <c r="R22" s="84"/>
      <c r="S22" s="84"/>
      <c r="T22" s="84"/>
      <c r="U22" s="84"/>
      <c r="V22" s="84"/>
      <c r="W22" s="84"/>
      <c r="X22" s="84"/>
      <c r="Y22" s="84"/>
      <c r="Z22" s="84"/>
    </row>
    <row r="23" spans="1:26" ht="42" customHeight="1">
      <c r="A23" s="86" t="s">
        <v>975</v>
      </c>
      <c r="B23" s="86" t="s">
        <v>377</v>
      </c>
      <c r="C23" s="86" t="s">
        <v>1014</v>
      </c>
      <c r="D23" s="86" t="s">
        <v>69</v>
      </c>
      <c r="E23" s="86" t="s">
        <v>35</v>
      </c>
      <c r="F23" s="86">
        <v>2026</v>
      </c>
      <c r="G23" s="86" t="s">
        <v>76</v>
      </c>
      <c r="H23" s="84"/>
      <c r="I23" s="84"/>
      <c r="J23" s="84"/>
      <c r="K23" s="84"/>
      <c r="L23" s="84"/>
      <c r="M23" s="84"/>
      <c r="N23" s="84"/>
      <c r="O23" s="84"/>
      <c r="P23" s="84"/>
      <c r="Q23" s="84"/>
      <c r="R23" s="84"/>
      <c r="S23" s="84"/>
      <c r="T23" s="84"/>
      <c r="U23" s="84"/>
      <c r="V23" s="84"/>
      <c r="W23" s="84"/>
      <c r="X23" s="84"/>
      <c r="Y23" s="84"/>
      <c r="Z23" s="84"/>
    </row>
    <row r="24" spans="1:26" ht="42" customHeight="1">
      <c r="A24" s="86" t="s">
        <v>975</v>
      </c>
      <c r="B24" s="86" t="s">
        <v>1015</v>
      </c>
      <c r="C24" s="86" t="s">
        <v>938</v>
      </c>
      <c r="D24" s="86" t="s">
        <v>939</v>
      </c>
      <c r="E24" s="86" t="s">
        <v>940</v>
      </c>
      <c r="F24" s="86">
        <v>2025</v>
      </c>
      <c r="G24" s="86" t="s">
        <v>1016</v>
      </c>
      <c r="H24" s="84"/>
      <c r="I24" s="84"/>
      <c r="J24" s="84"/>
      <c r="K24" s="84"/>
      <c r="L24" s="84"/>
      <c r="M24" s="84"/>
      <c r="N24" s="84"/>
      <c r="O24" s="84"/>
      <c r="P24" s="84"/>
      <c r="Q24" s="84"/>
      <c r="R24" s="84"/>
      <c r="S24" s="84"/>
      <c r="T24" s="84"/>
      <c r="U24" s="84"/>
      <c r="V24" s="84"/>
      <c r="W24" s="84"/>
      <c r="X24" s="84"/>
      <c r="Y24" s="84"/>
      <c r="Z24" s="84"/>
    </row>
    <row r="25" spans="1:26" ht="42" customHeight="1">
      <c r="A25" s="86" t="s">
        <v>975</v>
      </c>
      <c r="B25" s="86" t="s">
        <v>1017</v>
      </c>
      <c r="C25" s="86" t="s">
        <v>639</v>
      </c>
      <c r="D25" s="86" t="s">
        <v>640</v>
      </c>
      <c r="E25" s="86" t="s">
        <v>641</v>
      </c>
      <c r="F25" s="86">
        <v>2023</v>
      </c>
      <c r="G25" s="86" t="s">
        <v>648</v>
      </c>
      <c r="H25" s="84"/>
      <c r="I25" s="84"/>
      <c r="J25" s="84"/>
      <c r="K25" s="84"/>
      <c r="L25" s="84"/>
      <c r="M25" s="84"/>
      <c r="N25" s="84"/>
      <c r="O25" s="84"/>
      <c r="P25" s="84"/>
      <c r="Q25" s="84"/>
      <c r="R25" s="84"/>
      <c r="S25" s="84"/>
      <c r="T25" s="84"/>
      <c r="U25" s="84"/>
      <c r="V25" s="84"/>
      <c r="W25" s="84"/>
      <c r="X25" s="84"/>
      <c r="Y25" s="84"/>
      <c r="Z25" s="84"/>
    </row>
    <row r="26" spans="1:26" ht="42" customHeight="1">
      <c r="A26" s="86" t="s">
        <v>975</v>
      </c>
      <c r="B26" s="86" t="s">
        <v>1018</v>
      </c>
      <c r="C26" s="86" t="s">
        <v>1019</v>
      </c>
      <c r="D26" s="86" t="s">
        <v>823</v>
      </c>
      <c r="E26" s="86" t="s">
        <v>641</v>
      </c>
      <c r="F26" s="86">
        <v>2021</v>
      </c>
      <c r="G26" s="86" t="s">
        <v>1020</v>
      </c>
      <c r="H26" s="84"/>
      <c r="I26" s="84"/>
      <c r="J26" s="84"/>
      <c r="K26" s="84"/>
      <c r="L26" s="84"/>
      <c r="M26" s="84"/>
      <c r="N26" s="84"/>
      <c r="O26" s="84"/>
      <c r="P26" s="84"/>
      <c r="Q26" s="84"/>
      <c r="R26" s="84"/>
      <c r="S26" s="84"/>
      <c r="T26" s="84"/>
      <c r="U26" s="84"/>
      <c r="V26" s="84"/>
      <c r="W26" s="84"/>
      <c r="X26" s="84"/>
      <c r="Y26" s="84"/>
      <c r="Z26" s="84"/>
    </row>
    <row r="27" spans="1:26" ht="42" customHeight="1">
      <c r="A27" s="86" t="s">
        <v>975</v>
      </c>
      <c r="B27" s="86" t="s">
        <v>1021</v>
      </c>
      <c r="C27" s="86" t="s">
        <v>1022</v>
      </c>
      <c r="D27" s="86" t="s">
        <v>476</v>
      </c>
      <c r="E27" s="86" t="s">
        <v>477</v>
      </c>
      <c r="F27" s="86">
        <v>2020</v>
      </c>
      <c r="G27" s="86" t="s">
        <v>1023</v>
      </c>
      <c r="H27" s="84"/>
      <c r="I27" s="84"/>
      <c r="J27" s="84"/>
      <c r="K27" s="84"/>
      <c r="L27" s="84"/>
      <c r="M27" s="84"/>
      <c r="N27" s="84"/>
      <c r="O27" s="84"/>
      <c r="P27" s="84"/>
      <c r="Q27" s="84"/>
      <c r="R27" s="84"/>
      <c r="S27" s="84"/>
      <c r="T27" s="84"/>
      <c r="U27" s="84"/>
      <c r="V27" s="84"/>
      <c r="W27" s="84"/>
      <c r="X27" s="84"/>
      <c r="Y27" s="84"/>
      <c r="Z27" s="84"/>
    </row>
    <row r="28" spans="1:26" ht="42" customHeight="1">
      <c r="A28" s="86" t="s">
        <v>975</v>
      </c>
      <c r="B28" s="86" t="s">
        <v>1024</v>
      </c>
      <c r="C28" s="86" t="s">
        <v>1025</v>
      </c>
      <c r="D28" s="86" t="s">
        <v>1026</v>
      </c>
      <c r="E28" s="86" t="s">
        <v>477</v>
      </c>
      <c r="F28" s="86">
        <v>2021</v>
      </c>
      <c r="G28" s="86" t="s">
        <v>517</v>
      </c>
      <c r="H28" s="84"/>
      <c r="I28" s="84"/>
      <c r="J28" s="84"/>
      <c r="K28" s="84"/>
      <c r="L28" s="84"/>
      <c r="M28" s="84"/>
      <c r="N28" s="84"/>
      <c r="O28" s="84"/>
      <c r="P28" s="84"/>
      <c r="Q28" s="84"/>
      <c r="R28" s="84"/>
      <c r="S28" s="84"/>
      <c r="T28" s="84"/>
      <c r="U28" s="84"/>
      <c r="V28" s="84"/>
      <c r="W28" s="84"/>
      <c r="X28" s="84"/>
      <c r="Y28" s="84"/>
      <c r="Z28" s="84"/>
    </row>
    <row r="29" spans="1:26" ht="42" customHeight="1">
      <c r="A29" s="86" t="s">
        <v>975</v>
      </c>
      <c r="B29" s="86" t="s">
        <v>1027</v>
      </c>
      <c r="C29" s="86" t="s">
        <v>1028</v>
      </c>
      <c r="D29" s="86" t="s">
        <v>1029</v>
      </c>
      <c r="E29" s="86" t="s">
        <v>132</v>
      </c>
      <c r="F29" s="86">
        <v>2024</v>
      </c>
      <c r="G29" s="86" t="s">
        <v>1030</v>
      </c>
      <c r="H29" s="84"/>
      <c r="I29" s="84"/>
      <c r="J29" s="84"/>
      <c r="K29" s="84"/>
      <c r="L29" s="84"/>
      <c r="M29" s="84"/>
      <c r="N29" s="84"/>
      <c r="O29" s="84"/>
      <c r="P29" s="84"/>
      <c r="Q29" s="84"/>
      <c r="R29" s="84"/>
      <c r="S29" s="84"/>
      <c r="T29" s="84"/>
      <c r="U29" s="84"/>
      <c r="V29" s="84"/>
      <c r="W29" s="84"/>
      <c r="X29" s="84"/>
      <c r="Y29" s="84"/>
      <c r="Z29" s="84"/>
    </row>
    <row r="30" spans="1:26" ht="42" customHeight="1">
      <c r="A30" s="86" t="s">
        <v>975</v>
      </c>
      <c r="B30" s="86" t="s">
        <v>1031</v>
      </c>
      <c r="C30" s="86" t="s">
        <v>1032</v>
      </c>
      <c r="D30" s="86" t="s">
        <v>753</v>
      </c>
      <c r="E30" s="86" t="s">
        <v>754</v>
      </c>
      <c r="F30" s="86">
        <v>2022</v>
      </c>
      <c r="G30" s="86" t="s">
        <v>1033</v>
      </c>
      <c r="H30" s="84"/>
      <c r="I30" s="84"/>
      <c r="J30" s="84"/>
      <c r="K30" s="84"/>
      <c r="L30" s="84"/>
      <c r="M30" s="84"/>
      <c r="N30" s="84"/>
      <c r="O30" s="84"/>
      <c r="P30" s="84"/>
      <c r="Q30" s="84"/>
      <c r="R30" s="84"/>
      <c r="S30" s="84"/>
      <c r="T30" s="84"/>
      <c r="U30" s="84"/>
      <c r="V30" s="84"/>
      <c r="W30" s="84"/>
      <c r="X30" s="84"/>
      <c r="Y30" s="84"/>
      <c r="Z30" s="84"/>
    </row>
    <row r="31" spans="1:26" ht="42" customHeight="1">
      <c r="A31" s="86" t="s">
        <v>975</v>
      </c>
      <c r="B31" s="86" t="s">
        <v>189</v>
      </c>
      <c r="C31" s="86" t="s">
        <v>1034</v>
      </c>
      <c r="D31" s="86" t="s">
        <v>1035</v>
      </c>
      <c r="E31" s="86" t="s">
        <v>132</v>
      </c>
      <c r="F31" s="86">
        <v>2018</v>
      </c>
      <c r="G31" s="86" t="s">
        <v>473</v>
      </c>
      <c r="H31" s="84"/>
      <c r="I31" s="84"/>
      <c r="J31" s="84"/>
      <c r="K31" s="84"/>
      <c r="L31" s="84"/>
      <c r="M31" s="84"/>
      <c r="N31" s="84"/>
      <c r="O31" s="84"/>
      <c r="P31" s="84"/>
      <c r="Q31" s="84"/>
      <c r="R31" s="84"/>
      <c r="S31" s="84"/>
      <c r="T31" s="84"/>
      <c r="U31" s="84"/>
      <c r="V31" s="84"/>
      <c r="W31" s="84"/>
      <c r="X31" s="84"/>
      <c r="Y31" s="84"/>
      <c r="Z31" s="84"/>
    </row>
    <row r="32" spans="1:26" ht="42" customHeight="1">
      <c r="A32" s="86" t="s">
        <v>975</v>
      </c>
      <c r="B32" s="86" t="s">
        <v>1036</v>
      </c>
      <c r="C32" s="86" t="s">
        <v>1037</v>
      </c>
      <c r="D32" s="86" t="s">
        <v>485</v>
      </c>
      <c r="E32" s="86" t="s">
        <v>477</v>
      </c>
      <c r="F32" s="86">
        <v>2020</v>
      </c>
      <c r="G32" s="86" t="s">
        <v>1038</v>
      </c>
      <c r="H32" s="84"/>
      <c r="I32" s="84"/>
      <c r="J32" s="84"/>
      <c r="K32" s="84"/>
      <c r="L32" s="84"/>
      <c r="M32" s="84"/>
      <c r="N32" s="84"/>
      <c r="O32" s="84"/>
      <c r="P32" s="84"/>
      <c r="Q32" s="84"/>
      <c r="R32" s="84"/>
      <c r="S32" s="84"/>
      <c r="T32" s="84"/>
      <c r="U32" s="84"/>
      <c r="V32" s="84"/>
      <c r="W32" s="84"/>
      <c r="X32" s="84"/>
      <c r="Y32" s="84"/>
      <c r="Z32" s="84"/>
    </row>
    <row r="33" spans="1:26" ht="42" customHeight="1">
      <c r="A33" s="86" t="s">
        <v>975</v>
      </c>
      <c r="B33" s="86" t="s">
        <v>559</v>
      </c>
      <c r="C33" s="86" t="s">
        <v>320</v>
      </c>
      <c r="D33" s="86" t="s">
        <v>1039</v>
      </c>
      <c r="E33" s="86" t="s">
        <v>132</v>
      </c>
      <c r="F33" s="86">
        <v>2026</v>
      </c>
      <c r="G33" s="86" t="s">
        <v>1040</v>
      </c>
      <c r="H33" s="84"/>
      <c r="I33" s="84"/>
      <c r="J33" s="84"/>
      <c r="K33" s="84"/>
      <c r="L33" s="84"/>
      <c r="M33" s="84"/>
      <c r="N33" s="84"/>
      <c r="O33" s="84"/>
      <c r="P33" s="84"/>
      <c r="Q33" s="84"/>
      <c r="R33" s="84"/>
      <c r="S33" s="84"/>
      <c r="T33" s="84"/>
      <c r="U33" s="84"/>
      <c r="V33" s="84"/>
      <c r="W33" s="84"/>
      <c r="X33" s="84"/>
      <c r="Y33" s="84"/>
      <c r="Z33" s="84"/>
    </row>
    <row r="34" spans="1:26" ht="42" customHeight="1">
      <c r="A34" s="86" t="s">
        <v>975</v>
      </c>
      <c r="B34" s="86" t="s">
        <v>1041</v>
      </c>
      <c r="C34" s="86" t="s">
        <v>439</v>
      </c>
      <c r="D34" s="86" t="s">
        <v>440</v>
      </c>
      <c r="E34" s="86" t="s">
        <v>431</v>
      </c>
      <c r="F34" s="86">
        <v>2024</v>
      </c>
      <c r="G34" s="86" t="s">
        <v>447</v>
      </c>
      <c r="H34" s="84"/>
      <c r="I34" s="84"/>
      <c r="J34" s="84"/>
      <c r="K34" s="84"/>
      <c r="L34" s="84"/>
      <c r="M34" s="84"/>
      <c r="N34" s="84"/>
      <c r="O34" s="84"/>
      <c r="P34" s="84"/>
      <c r="Q34" s="84"/>
      <c r="R34" s="84"/>
      <c r="S34" s="84"/>
      <c r="T34" s="84"/>
      <c r="U34" s="84"/>
      <c r="V34" s="84"/>
      <c r="W34" s="84"/>
      <c r="X34" s="84"/>
      <c r="Y34" s="84"/>
      <c r="Z34" s="84"/>
    </row>
    <row r="35" spans="1:26" ht="42" customHeight="1">
      <c r="A35" s="86" t="s">
        <v>975</v>
      </c>
      <c r="B35" s="86" t="s">
        <v>1042</v>
      </c>
      <c r="C35" s="86" t="s">
        <v>1043</v>
      </c>
      <c r="D35" s="86" t="s">
        <v>450</v>
      </c>
      <c r="E35" s="86" t="s">
        <v>431</v>
      </c>
      <c r="F35" s="86">
        <v>2021</v>
      </c>
      <c r="G35" s="86" t="s">
        <v>1044</v>
      </c>
      <c r="H35" s="84"/>
      <c r="I35" s="84"/>
      <c r="J35" s="84"/>
      <c r="K35" s="84"/>
      <c r="L35" s="84"/>
      <c r="M35" s="84"/>
      <c r="N35" s="84"/>
      <c r="O35" s="84"/>
      <c r="P35" s="84"/>
      <c r="Q35" s="84"/>
      <c r="R35" s="84"/>
      <c r="S35" s="84"/>
      <c r="T35" s="84"/>
      <c r="U35" s="84"/>
      <c r="V35" s="84"/>
      <c r="W35" s="84"/>
      <c r="X35" s="84"/>
      <c r="Y35" s="84"/>
      <c r="Z35" s="84"/>
    </row>
    <row r="36" spans="1:26" ht="42" customHeight="1">
      <c r="A36" s="86" t="s">
        <v>975</v>
      </c>
      <c r="B36" s="86" t="s">
        <v>514</v>
      </c>
      <c r="C36" s="86" t="s">
        <v>1045</v>
      </c>
      <c r="D36" s="86" t="s">
        <v>228</v>
      </c>
      <c r="E36" s="86" t="s">
        <v>132</v>
      </c>
      <c r="F36" s="86">
        <v>2023</v>
      </c>
      <c r="G36" s="86" t="s">
        <v>1046</v>
      </c>
      <c r="H36" s="84"/>
      <c r="I36" s="84"/>
      <c r="J36" s="84"/>
      <c r="K36" s="84"/>
      <c r="L36" s="84"/>
      <c r="M36" s="84"/>
      <c r="N36" s="84"/>
      <c r="O36" s="84"/>
      <c r="P36" s="84"/>
      <c r="Q36" s="84"/>
      <c r="R36" s="84"/>
      <c r="S36" s="84"/>
      <c r="T36" s="84"/>
      <c r="U36" s="84"/>
      <c r="V36" s="84"/>
      <c r="W36" s="84"/>
      <c r="X36" s="84"/>
      <c r="Y36" s="84"/>
      <c r="Z36" s="84"/>
    </row>
    <row r="37" spans="1:26" ht="42" customHeight="1">
      <c r="A37" s="86" t="s">
        <v>975</v>
      </c>
      <c r="B37" s="86" t="s">
        <v>1047</v>
      </c>
      <c r="C37" s="86" t="s">
        <v>1048</v>
      </c>
      <c r="D37" s="86" t="s">
        <v>418</v>
      </c>
      <c r="E37" s="86" t="s">
        <v>419</v>
      </c>
      <c r="F37" s="86">
        <v>2025</v>
      </c>
      <c r="G37" s="86" t="s">
        <v>426</v>
      </c>
      <c r="H37" s="84"/>
      <c r="I37" s="84"/>
      <c r="J37" s="84"/>
      <c r="K37" s="84"/>
      <c r="L37" s="84"/>
      <c r="M37" s="84"/>
      <c r="N37" s="84"/>
      <c r="O37" s="84"/>
      <c r="P37" s="84"/>
      <c r="Q37" s="84"/>
      <c r="R37" s="84"/>
      <c r="S37" s="84"/>
      <c r="T37" s="84"/>
      <c r="U37" s="84"/>
      <c r="V37" s="84"/>
      <c r="W37" s="84"/>
      <c r="X37" s="84"/>
      <c r="Y37" s="84"/>
      <c r="Z37" s="84"/>
    </row>
    <row r="38" spans="1:26" ht="42" customHeight="1">
      <c r="A38" s="86" t="s">
        <v>975</v>
      </c>
      <c r="B38" s="86" t="s">
        <v>220</v>
      </c>
      <c r="C38" s="86" t="s">
        <v>553</v>
      </c>
      <c r="D38" s="86" t="s">
        <v>554</v>
      </c>
      <c r="E38" s="86" t="s">
        <v>555</v>
      </c>
      <c r="F38" s="86">
        <v>2025</v>
      </c>
      <c r="G38" s="86" t="s">
        <v>1049</v>
      </c>
      <c r="H38" s="84"/>
      <c r="I38" s="84"/>
      <c r="J38" s="84"/>
      <c r="K38" s="84"/>
      <c r="L38" s="84"/>
      <c r="M38" s="84"/>
      <c r="N38" s="84"/>
      <c r="O38" s="84"/>
      <c r="P38" s="84"/>
      <c r="Q38" s="84"/>
      <c r="R38" s="84"/>
      <c r="S38" s="84"/>
      <c r="T38" s="84"/>
      <c r="U38" s="84"/>
      <c r="V38" s="84"/>
      <c r="W38" s="84"/>
      <c r="X38" s="84"/>
      <c r="Y38" s="84"/>
      <c r="Z38" s="84"/>
    </row>
    <row r="39" spans="1:26" ht="42" customHeight="1">
      <c r="A39" s="86" t="s">
        <v>975</v>
      </c>
      <c r="B39" s="86" t="s">
        <v>1050</v>
      </c>
      <c r="C39" s="86" t="s">
        <v>735</v>
      </c>
      <c r="D39" s="86" t="s">
        <v>736</v>
      </c>
      <c r="E39" s="86" t="s">
        <v>737</v>
      </c>
      <c r="F39" s="86">
        <v>2025</v>
      </c>
      <c r="G39" s="86" t="s">
        <v>1051</v>
      </c>
      <c r="H39" s="84"/>
      <c r="I39" s="84"/>
      <c r="J39" s="84"/>
      <c r="K39" s="84"/>
      <c r="L39" s="84"/>
      <c r="M39" s="84"/>
      <c r="N39" s="84"/>
      <c r="O39" s="84"/>
      <c r="P39" s="84"/>
      <c r="Q39" s="84"/>
      <c r="R39" s="84"/>
      <c r="S39" s="84"/>
      <c r="T39" s="84"/>
      <c r="U39" s="84"/>
      <c r="V39" s="84"/>
      <c r="W39" s="84"/>
      <c r="X39" s="84"/>
      <c r="Y39" s="84"/>
      <c r="Z39" s="84"/>
    </row>
    <row r="40" spans="1:26" ht="42" customHeight="1">
      <c r="A40" s="86" t="s">
        <v>975</v>
      </c>
      <c r="B40" s="86" t="s">
        <v>250</v>
      </c>
      <c r="C40" s="86" t="s">
        <v>703</v>
      </c>
      <c r="D40" s="86" t="s">
        <v>704</v>
      </c>
      <c r="E40" s="86" t="s">
        <v>132</v>
      </c>
      <c r="F40" s="86">
        <v>2025</v>
      </c>
      <c r="G40" s="86" t="s">
        <v>711</v>
      </c>
      <c r="H40" s="84"/>
      <c r="I40" s="84"/>
      <c r="J40" s="84"/>
      <c r="K40" s="84"/>
      <c r="L40" s="84"/>
      <c r="M40" s="84"/>
      <c r="N40" s="84"/>
      <c r="O40" s="84"/>
      <c r="P40" s="84"/>
      <c r="Q40" s="84"/>
      <c r="R40" s="84"/>
      <c r="S40" s="84"/>
      <c r="T40" s="84"/>
      <c r="U40" s="84"/>
      <c r="V40" s="84"/>
      <c r="W40" s="84"/>
      <c r="X40" s="84"/>
      <c r="Y40" s="84"/>
      <c r="Z40" s="84"/>
    </row>
    <row r="41" spans="1:26" ht="42" customHeight="1">
      <c r="A41" s="86" t="s">
        <v>975</v>
      </c>
      <c r="B41" s="86" t="s">
        <v>1015</v>
      </c>
      <c r="C41" s="86" t="s">
        <v>910</v>
      </c>
      <c r="D41" s="86" t="s">
        <v>911</v>
      </c>
      <c r="E41" s="86" t="s">
        <v>912</v>
      </c>
      <c r="F41" s="86">
        <v>2022</v>
      </c>
      <c r="G41" s="86" t="s">
        <v>917</v>
      </c>
      <c r="H41" s="84"/>
      <c r="I41" s="84"/>
      <c r="J41" s="84"/>
      <c r="K41" s="84"/>
      <c r="L41" s="84"/>
      <c r="M41" s="84"/>
      <c r="N41" s="84"/>
      <c r="O41" s="84"/>
      <c r="P41" s="84"/>
      <c r="Q41" s="84"/>
      <c r="R41" s="84"/>
      <c r="S41" s="84"/>
      <c r="T41" s="84"/>
      <c r="U41" s="84"/>
      <c r="V41" s="84"/>
      <c r="W41" s="84"/>
      <c r="X41" s="84"/>
      <c r="Y41" s="84"/>
      <c r="Z41" s="84"/>
    </row>
    <row r="42" spans="1:26" ht="42" customHeight="1">
      <c r="A42" s="86" t="s">
        <v>975</v>
      </c>
      <c r="B42" s="86" t="s">
        <v>1052</v>
      </c>
      <c r="C42" s="86" t="s">
        <v>813</v>
      </c>
      <c r="D42" s="86" t="s">
        <v>1053</v>
      </c>
      <c r="E42" s="86" t="s">
        <v>132</v>
      </c>
      <c r="F42" s="86">
        <v>2021</v>
      </c>
      <c r="G42" s="86" t="s">
        <v>819</v>
      </c>
      <c r="H42" s="84"/>
      <c r="I42" s="84"/>
      <c r="J42" s="84"/>
      <c r="K42" s="84"/>
      <c r="L42" s="84"/>
      <c r="M42" s="84"/>
      <c r="N42" s="84"/>
      <c r="O42" s="84"/>
      <c r="P42" s="84"/>
      <c r="Q42" s="84"/>
      <c r="R42" s="84"/>
      <c r="S42" s="84"/>
      <c r="T42" s="84"/>
      <c r="U42" s="84"/>
      <c r="V42" s="84"/>
      <c r="W42" s="84"/>
      <c r="X42" s="84"/>
      <c r="Y42" s="84"/>
      <c r="Z42" s="84"/>
    </row>
    <row r="43" spans="1:26" ht="42" customHeight="1">
      <c r="A43" s="86" t="s">
        <v>975</v>
      </c>
      <c r="B43" s="86" t="s">
        <v>1054</v>
      </c>
      <c r="C43" s="86" t="s">
        <v>1055</v>
      </c>
      <c r="D43" s="86" t="s">
        <v>373</v>
      </c>
      <c r="E43" s="86" t="s">
        <v>374</v>
      </c>
      <c r="F43" s="86">
        <v>2020</v>
      </c>
      <c r="G43" s="86" t="s">
        <v>381</v>
      </c>
      <c r="H43" s="84"/>
      <c r="I43" s="84"/>
      <c r="J43" s="84"/>
      <c r="K43" s="84"/>
      <c r="L43" s="84"/>
      <c r="M43" s="84"/>
      <c r="N43" s="84"/>
      <c r="O43" s="84"/>
      <c r="P43" s="84"/>
      <c r="Q43" s="84"/>
      <c r="R43" s="84"/>
      <c r="S43" s="84"/>
      <c r="T43" s="84"/>
      <c r="U43" s="84"/>
      <c r="V43" s="84"/>
      <c r="W43" s="84"/>
      <c r="X43" s="84"/>
      <c r="Y43" s="84"/>
      <c r="Z43" s="84"/>
    </row>
    <row r="44" spans="1:26" ht="42" customHeight="1">
      <c r="A44" s="86" t="s">
        <v>975</v>
      </c>
      <c r="B44" s="86" t="s">
        <v>103</v>
      </c>
      <c r="C44" s="86" t="s">
        <v>1056</v>
      </c>
      <c r="D44" s="86" t="s">
        <v>1057</v>
      </c>
      <c r="E44" s="86" t="s">
        <v>132</v>
      </c>
      <c r="F44" s="86">
        <v>2021</v>
      </c>
      <c r="G44" s="86" t="s">
        <v>1058</v>
      </c>
      <c r="H44" s="84"/>
      <c r="I44" s="84"/>
      <c r="J44" s="84"/>
      <c r="K44" s="84"/>
      <c r="L44" s="84"/>
      <c r="M44" s="84"/>
      <c r="N44" s="84"/>
      <c r="O44" s="84"/>
      <c r="P44" s="84"/>
      <c r="Q44" s="84"/>
      <c r="R44" s="84"/>
      <c r="S44" s="84"/>
      <c r="T44" s="84"/>
      <c r="U44" s="84"/>
      <c r="V44" s="84"/>
      <c r="W44" s="84"/>
      <c r="X44" s="84"/>
      <c r="Y44" s="84"/>
      <c r="Z44" s="84"/>
    </row>
    <row r="45" spans="1:26" ht="42" customHeight="1">
      <c r="A45" s="86" t="s">
        <v>975</v>
      </c>
      <c r="B45" s="86" t="s">
        <v>1059</v>
      </c>
      <c r="C45" s="86" t="s">
        <v>1060</v>
      </c>
      <c r="D45" s="86" t="s">
        <v>331</v>
      </c>
      <c r="E45" s="86" t="s">
        <v>132</v>
      </c>
      <c r="F45" s="86">
        <v>2026</v>
      </c>
      <c r="G45" s="86" t="s">
        <v>1061</v>
      </c>
      <c r="H45" s="84"/>
      <c r="I45" s="84"/>
      <c r="J45" s="84"/>
      <c r="K45" s="84"/>
      <c r="L45" s="84"/>
      <c r="M45" s="84"/>
      <c r="N45" s="84"/>
      <c r="O45" s="84"/>
      <c r="P45" s="84"/>
      <c r="Q45" s="84"/>
      <c r="R45" s="84"/>
      <c r="S45" s="84"/>
      <c r="T45" s="84"/>
      <c r="U45" s="84"/>
      <c r="V45" s="84"/>
      <c r="W45" s="84"/>
      <c r="X45" s="84"/>
      <c r="Y45" s="84"/>
      <c r="Z45" s="84"/>
    </row>
    <row r="46" spans="1:26" ht="42" customHeight="1">
      <c r="A46" s="86" t="s">
        <v>975</v>
      </c>
      <c r="B46" s="86" t="s">
        <v>346</v>
      </c>
      <c r="C46" s="86" t="s">
        <v>1062</v>
      </c>
      <c r="D46" s="86" t="s">
        <v>43</v>
      </c>
      <c r="E46" s="86" t="s">
        <v>35</v>
      </c>
      <c r="F46" s="86">
        <v>2024</v>
      </c>
      <c r="G46" s="86" t="s">
        <v>49</v>
      </c>
      <c r="H46" s="84"/>
      <c r="I46" s="84"/>
      <c r="J46" s="84"/>
      <c r="K46" s="84"/>
      <c r="L46" s="84"/>
      <c r="M46" s="84"/>
      <c r="N46" s="84"/>
      <c r="O46" s="84"/>
      <c r="P46" s="84"/>
      <c r="Q46" s="84"/>
      <c r="R46" s="84"/>
      <c r="S46" s="84"/>
      <c r="T46" s="84"/>
      <c r="U46" s="84"/>
      <c r="V46" s="84"/>
      <c r="W46" s="84"/>
      <c r="X46" s="84"/>
      <c r="Y46" s="84"/>
      <c r="Z46" s="84"/>
    </row>
    <row r="47" spans="1:26" ht="42" customHeight="1">
      <c r="A47" s="86" t="s">
        <v>975</v>
      </c>
      <c r="B47" s="86" t="s">
        <v>388</v>
      </c>
      <c r="C47" s="86" t="s">
        <v>216</v>
      </c>
      <c r="D47" s="86" t="s">
        <v>1063</v>
      </c>
      <c r="E47" s="86" t="s">
        <v>132</v>
      </c>
      <c r="F47" s="86">
        <v>2023</v>
      </c>
      <c r="G47" s="86" t="s">
        <v>1064</v>
      </c>
      <c r="H47" s="84"/>
      <c r="I47" s="84"/>
      <c r="J47" s="84"/>
      <c r="K47" s="84"/>
      <c r="L47" s="84"/>
      <c r="M47" s="84"/>
      <c r="N47" s="84"/>
      <c r="O47" s="84"/>
      <c r="P47" s="84"/>
      <c r="Q47" s="84"/>
      <c r="R47" s="84"/>
      <c r="S47" s="84"/>
      <c r="T47" s="84"/>
      <c r="U47" s="84"/>
      <c r="V47" s="84"/>
      <c r="W47" s="84"/>
      <c r="X47" s="84"/>
      <c r="Y47" s="84"/>
      <c r="Z47" s="84"/>
    </row>
    <row r="48" spans="1:26" ht="42" customHeight="1">
      <c r="A48" s="86" t="s">
        <v>975</v>
      </c>
      <c r="B48" s="86" t="s">
        <v>633</v>
      </c>
      <c r="C48" s="86" t="s">
        <v>1065</v>
      </c>
      <c r="D48" s="86" t="s">
        <v>266</v>
      </c>
      <c r="E48" s="86" t="s">
        <v>132</v>
      </c>
      <c r="F48" s="86">
        <v>2025</v>
      </c>
      <c r="G48" s="86" t="s">
        <v>1066</v>
      </c>
      <c r="H48" s="84"/>
      <c r="I48" s="84"/>
      <c r="J48" s="84"/>
      <c r="K48" s="84"/>
      <c r="L48" s="84"/>
      <c r="M48" s="84"/>
      <c r="N48" s="84"/>
      <c r="O48" s="84"/>
      <c r="P48" s="84"/>
      <c r="Q48" s="84"/>
      <c r="R48" s="84"/>
      <c r="S48" s="84"/>
      <c r="T48" s="84"/>
      <c r="U48" s="84"/>
      <c r="V48" s="84"/>
      <c r="W48" s="84"/>
      <c r="X48" s="84"/>
      <c r="Y48" s="84"/>
      <c r="Z48" s="84"/>
    </row>
    <row r="49" spans="1:26" ht="42" customHeight="1">
      <c r="A49" s="86" t="s">
        <v>975</v>
      </c>
      <c r="B49" s="86" t="s">
        <v>279</v>
      </c>
      <c r="C49" s="86" t="s">
        <v>1067</v>
      </c>
      <c r="D49" s="86" t="s">
        <v>1068</v>
      </c>
      <c r="E49" s="86" t="s">
        <v>343</v>
      </c>
      <c r="F49" s="86">
        <v>2025</v>
      </c>
      <c r="G49" s="86" t="s">
        <v>349</v>
      </c>
      <c r="H49" s="84"/>
      <c r="I49" s="84"/>
      <c r="J49" s="84"/>
      <c r="K49" s="84"/>
      <c r="L49" s="84"/>
      <c r="M49" s="84"/>
      <c r="N49" s="84"/>
      <c r="O49" s="84"/>
      <c r="P49" s="84"/>
      <c r="Q49" s="84"/>
      <c r="R49" s="84"/>
      <c r="S49" s="84"/>
      <c r="T49" s="84"/>
      <c r="U49" s="84"/>
      <c r="V49" s="84"/>
      <c r="W49" s="84"/>
      <c r="X49" s="84"/>
      <c r="Y49" s="84"/>
      <c r="Z49" s="84"/>
    </row>
    <row r="50" spans="1:26" ht="42" customHeight="1">
      <c r="A50" s="86" t="s">
        <v>975</v>
      </c>
      <c r="B50" s="86" t="s">
        <v>1069</v>
      </c>
      <c r="C50" s="86" t="s">
        <v>59</v>
      </c>
      <c r="D50" s="86" t="s">
        <v>60</v>
      </c>
      <c r="E50" s="86" t="s">
        <v>35</v>
      </c>
      <c r="F50" s="86">
        <v>2026</v>
      </c>
      <c r="G50" s="86" t="s">
        <v>66</v>
      </c>
      <c r="H50" s="84"/>
      <c r="I50" s="84"/>
      <c r="J50" s="84"/>
      <c r="K50" s="84"/>
      <c r="L50" s="84"/>
      <c r="M50" s="84"/>
      <c r="N50" s="84"/>
      <c r="O50" s="84"/>
      <c r="P50" s="84"/>
      <c r="Q50" s="84"/>
      <c r="R50" s="84"/>
      <c r="S50" s="84"/>
      <c r="T50" s="84"/>
      <c r="U50" s="84"/>
      <c r="V50" s="84"/>
      <c r="W50" s="84"/>
      <c r="X50" s="84"/>
      <c r="Y50" s="84"/>
      <c r="Z50" s="84"/>
    </row>
    <row r="51" spans="1:26" ht="42" customHeight="1">
      <c r="A51" s="86" t="s">
        <v>975</v>
      </c>
      <c r="B51" s="86" t="s">
        <v>844</v>
      </c>
      <c r="C51" s="86" t="s">
        <v>33</v>
      </c>
      <c r="D51" s="86" t="s">
        <v>34</v>
      </c>
      <c r="E51" s="86" t="s">
        <v>35</v>
      </c>
      <c r="F51" s="86">
        <v>2017</v>
      </c>
      <c r="G51" s="86" t="s">
        <v>1070</v>
      </c>
      <c r="H51" s="84"/>
      <c r="I51" s="84"/>
      <c r="J51" s="84"/>
      <c r="K51" s="84"/>
      <c r="L51" s="84"/>
      <c r="M51" s="84"/>
      <c r="N51" s="84"/>
      <c r="O51" s="84"/>
      <c r="P51" s="84"/>
      <c r="Q51" s="84"/>
      <c r="R51" s="84"/>
      <c r="S51" s="84"/>
      <c r="T51" s="84"/>
      <c r="U51" s="84"/>
      <c r="V51" s="84"/>
      <c r="W51" s="84"/>
      <c r="X51" s="84"/>
      <c r="Y51" s="84"/>
      <c r="Z51" s="84"/>
    </row>
    <row r="52" spans="1:26" ht="42" customHeight="1">
      <c r="A52" s="86" t="s">
        <v>975</v>
      </c>
      <c r="B52" s="86" t="s">
        <v>55</v>
      </c>
      <c r="C52" s="86" t="s">
        <v>206</v>
      </c>
      <c r="D52" s="86" t="s">
        <v>207</v>
      </c>
      <c r="E52" s="86" t="s">
        <v>132</v>
      </c>
      <c r="F52" s="86">
        <v>2023</v>
      </c>
      <c r="G52" s="86" t="s">
        <v>213</v>
      </c>
      <c r="H52" s="84"/>
      <c r="I52" s="84"/>
      <c r="J52" s="84"/>
      <c r="K52" s="84"/>
      <c r="L52" s="84"/>
      <c r="M52" s="84"/>
      <c r="N52" s="84"/>
      <c r="O52" s="84"/>
      <c r="P52" s="84"/>
      <c r="Q52" s="84"/>
      <c r="R52" s="84"/>
      <c r="S52" s="84"/>
      <c r="T52" s="84"/>
      <c r="U52" s="84"/>
      <c r="V52" s="84"/>
      <c r="W52" s="84"/>
      <c r="X52" s="84"/>
      <c r="Y52" s="84"/>
      <c r="Z52" s="84"/>
    </row>
    <row r="53" spans="1:26" ht="42" customHeight="1">
      <c r="A53" s="275" t="s">
        <v>975</v>
      </c>
      <c r="B53" s="275" t="s">
        <v>1015</v>
      </c>
      <c r="C53" s="275" t="s">
        <v>1071</v>
      </c>
      <c r="D53" s="275" t="s">
        <v>1072</v>
      </c>
      <c r="E53" s="275" t="s">
        <v>591</v>
      </c>
      <c r="F53" s="275">
        <v>2024</v>
      </c>
      <c r="G53" s="275" t="s">
        <v>895</v>
      </c>
      <c r="H53" s="276"/>
      <c r="I53" s="276"/>
      <c r="J53" s="84"/>
      <c r="K53" s="84"/>
      <c r="L53" s="84"/>
      <c r="M53" s="84"/>
      <c r="N53" s="84"/>
      <c r="O53" s="84"/>
      <c r="P53" s="84"/>
      <c r="Q53" s="84"/>
      <c r="R53" s="84"/>
      <c r="S53" s="84"/>
      <c r="T53" s="84"/>
      <c r="U53" s="84"/>
      <c r="V53" s="84"/>
      <c r="W53" s="84"/>
      <c r="X53" s="84"/>
      <c r="Y53" s="84"/>
      <c r="Z53" s="84"/>
    </row>
    <row r="54" spans="1:26" ht="42" customHeight="1">
      <c r="A54" s="86" t="s">
        <v>975</v>
      </c>
      <c r="B54" s="86" t="s">
        <v>1073</v>
      </c>
      <c r="C54" s="86" t="s">
        <v>1074</v>
      </c>
      <c r="D54" s="86" t="s">
        <v>1072</v>
      </c>
      <c r="E54" s="86" t="s">
        <v>591</v>
      </c>
      <c r="F54" s="86">
        <v>2024</v>
      </c>
      <c r="G54" s="86" t="s">
        <v>598</v>
      </c>
      <c r="H54" s="84"/>
      <c r="I54" s="84"/>
      <c r="J54" s="84"/>
      <c r="K54" s="84"/>
      <c r="L54" s="84"/>
      <c r="M54" s="84"/>
      <c r="N54" s="84"/>
      <c r="O54" s="84"/>
      <c r="P54" s="84"/>
      <c r="Q54" s="84"/>
      <c r="R54" s="84"/>
      <c r="S54" s="84"/>
      <c r="T54" s="84"/>
      <c r="U54" s="84"/>
      <c r="V54" s="84"/>
      <c r="W54" s="84"/>
      <c r="X54" s="84"/>
      <c r="Y54" s="84"/>
      <c r="Z54" s="84"/>
    </row>
    <row r="55" spans="1:26" ht="42" customHeight="1">
      <c r="A55" s="86" t="s">
        <v>975</v>
      </c>
      <c r="B55" s="86" t="s">
        <v>1075</v>
      </c>
      <c r="C55" s="86" t="s">
        <v>51</v>
      </c>
      <c r="D55" s="86" t="s">
        <v>52</v>
      </c>
      <c r="E55" s="86" t="s">
        <v>35</v>
      </c>
      <c r="F55" s="86">
        <v>2025</v>
      </c>
      <c r="G55" s="86" t="s">
        <v>57</v>
      </c>
      <c r="H55" s="84"/>
      <c r="I55" s="84"/>
      <c r="J55" s="84"/>
      <c r="K55" s="84"/>
      <c r="L55" s="84"/>
      <c r="M55" s="84"/>
      <c r="N55" s="84"/>
      <c r="O55" s="84"/>
      <c r="P55" s="84"/>
      <c r="Q55" s="84"/>
      <c r="R55" s="84"/>
      <c r="S55" s="84"/>
      <c r="T55" s="84"/>
      <c r="U55" s="84"/>
      <c r="V55" s="84"/>
      <c r="W55" s="84"/>
      <c r="X55" s="84"/>
      <c r="Y55" s="84"/>
      <c r="Z55" s="84"/>
    </row>
    <row r="56" spans="1:26" ht="42" customHeight="1">
      <c r="A56" s="275" t="s">
        <v>975</v>
      </c>
      <c r="B56" s="275" t="s">
        <v>1076</v>
      </c>
      <c r="C56" s="275" t="s">
        <v>494</v>
      </c>
      <c r="D56" s="275" t="s">
        <v>581</v>
      </c>
      <c r="E56" s="275" t="s">
        <v>582</v>
      </c>
      <c r="F56" s="275"/>
      <c r="G56" s="275" t="s">
        <v>587</v>
      </c>
      <c r="H56" s="276"/>
      <c r="I56" s="276"/>
      <c r="J56" s="84"/>
      <c r="K56" s="84"/>
      <c r="L56" s="84"/>
      <c r="M56" s="84"/>
      <c r="N56" s="84"/>
      <c r="O56" s="84"/>
      <c r="P56" s="84"/>
      <c r="Q56" s="84"/>
      <c r="R56" s="84"/>
      <c r="S56" s="84"/>
      <c r="T56" s="84"/>
      <c r="U56" s="84"/>
      <c r="V56" s="84"/>
      <c r="W56" s="84"/>
      <c r="X56" s="84"/>
      <c r="Y56" s="84"/>
      <c r="Z56" s="84"/>
    </row>
    <row r="57" spans="1:26" ht="42" customHeight="1">
      <c r="A57" s="86" t="s">
        <v>975</v>
      </c>
      <c r="B57" s="86" t="s">
        <v>1077</v>
      </c>
      <c r="C57" s="86" t="s">
        <v>352</v>
      </c>
      <c r="D57" s="86" t="s">
        <v>353</v>
      </c>
      <c r="E57" s="86" t="s">
        <v>354</v>
      </c>
      <c r="F57" s="86">
        <v>2023</v>
      </c>
      <c r="G57" s="86" t="s">
        <v>360</v>
      </c>
      <c r="H57" s="84"/>
      <c r="I57" s="84"/>
      <c r="J57" s="84"/>
      <c r="K57" s="84"/>
      <c r="L57" s="84"/>
      <c r="M57" s="84"/>
      <c r="N57" s="84"/>
      <c r="O57" s="84"/>
      <c r="P57" s="84"/>
      <c r="Q57" s="84"/>
      <c r="R57" s="84"/>
      <c r="S57" s="84"/>
      <c r="T57" s="84"/>
      <c r="U57" s="84"/>
      <c r="V57" s="84"/>
      <c r="W57" s="84"/>
      <c r="X57" s="84"/>
      <c r="Y57" s="84"/>
      <c r="Z57" s="84"/>
    </row>
    <row r="58" spans="1:26" ht="42" customHeight="1">
      <c r="A58" s="86" t="s">
        <v>975</v>
      </c>
      <c r="B58" s="86" t="s">
        <v>643</v>
      </c>
      <c r="C58" s="86" t="s">
        <v>1078</v>
      </c>
      <c r="D58" s="86" t="s">
        <v>257</v>
      </c>
      <c r="E58" s="86" t="s">
        <v>132</v>
      </c>
      <c r="F58" s="86">
        <v>2024</v>
      </c>
      <c r="G58" s="86" t="s">
        <v>263</v>
      </c>
      <c r="H58" s="84"/>
      <c r="I58" s="84"/>
      <c r="J58" s="84"/>
      <c r="K58" s="84"/>
      <c r="L58" s="84"/>
      <c r="M58" s="84"/>
      <c r="N58" s="84"/>
      <c r="O58" s="84"/>
      <c r="P58" s="84"/>
      <c r="Q58" s="84"/>
      <c r="R58" s="84"/>
      <c r="S58" s="84"/>
      <c r="T58" s="84"/>
      <c r="U58" s="84"/>
      <c r="V58" s="84"/>
      <c r="W58" s="84"/>
      <c r="X58" s="84"/>
      <c r="Y58" s="84"/>
      <c r="Z58" s="84"/>
    </row>
    <row r="59" spans="1:26" ht="42" customHeight="1">
      <c r="A59" s="86" t="s">
        <v>975</v>
      </c>
      <c r="B59" s="86" t="s">
        <v>178</v>
      </c>
      <c r="C59" s="86" t="s">
        <v>1079</v>
      </c>
      <c r="D59" s="86" t="s">
        <v>90</v>
      </c>
      <c r="E59" s="86" t="s">
        <v>91</v>
      </c>
      <c r="F59" s="86">
        <v>2026</v>
      </c>
      <c r="G59" s="86" t="s">
        <v>96</v>
      </c>
      <c r="H59" s="84"/>
      <c r="I59" s="84"/>
      <c r="J59" s="84"/>
      <c r="K59" s="84"/>
      <c r="L59" s="84"/>
      <c r="M59" s="84"/>
      <c r="N59" s="84"/>
      <c r="O59" s="84"/>
      <c r="P59" s="84"/>
      <c r="Q59" s="84"/>
      <c r="R59" s="84"/>
      <c r="S59" s="84"/>
      <c r="T59" s="84"/>
      <c r="U59" s="84"/>
      <c r="V59" s="84"/>
      <c r="W59" s="84"/>
      <c r="X59" s="84"/>
      <c r="Y59" s="84"/>
      <c r="Z59" s="84"/>
    </row>
    <row r="60" spans="1:26" ht="19.5" customHeight="1">
      <c r="A60" s="356" t="s">
        <v>1477</v>
      </c>
      <c r="B60" s="349"/>
      <c r="C60" s="349"/>
      <c r="D60" s="349"/>
      <c r="E60" s="349"/>
      <c r="F60" s="349"/>
      <c r="G60" s="350"/>
      <c r="H60" s="84"/>
      <c r="I60" s="84"/>
      <c r="J60" s="84"/>
      <c r="K60" s="84"/>
      <c r="L60" s="84"/>
      <c r="M60" s="84"/>
      <c r="N60" s="84"/>
      <c r="O60" s="84"/>
      <c r="P60" s="84"/>
      <c r="Q60" s="84"/>
      <c r="R60" s="84"/>
      <c r="S60" s="84"/>
      <c r="T60" s="84"/>
      <c r="U60" s="84"/>
      <c r="V60" s="84"/>
      <c r="W60" s="84"/>
      <c r="X60" s="84"/>
      <c r="Y60" s="84"/>
      <c r="Z60" s="84"/>
    </row>
    <row r="61" spans="1:26" ht="42" customHeight="1">
      <c r="A61" s="88" t="s">
        <v>1080</v>
      </c>
      <c r="B61" s="88" t="s">
        <v>1081</v>
      </c>
      <c r="C61" s="88" t="s">
        <v>1082</v>
      </c>
      <c r="D61" s="88" t="s">
        <v>21</v>
      </c>
      <c r="E61" s="88" t="s">
        <v>22</v>
      </c>
      <c r="F61" s="88">
        <v>2020</v>
      </c>
      <c r="G61" s="88" t="s">
        <v>30</v>
      </c>
      <c r="H61" s="84"/>
      <c r="I61" s="84"/>
      <c r="J61" s="84"/>
      <c r="K61" s="84"/>
      <c r="L61" s="84"/>
      <c r="M61" s="84"/>
      <c r="N61" s="84"/>
      <c r="O61" s="84"/>
      <c r="P61" s="84"/>
      <c r="Q61" s="84"/>
      <c r="R61" s="84"/>
      <c r="S61" s="84"/>
      <c r="T61" s="84"/>
      <c r="U61" s="84"/>
      <c r="V61" s="84"/>
      <c r="W61" s="84"/>
      <c r="X61" s="84"/>
      <c r="Y61" s="84"/>
      <c r="Z61" s="84"/>
    </row>
    <row r="62" spans="1:26" ht="42" customHeight="1">
      <c r="A62" s="88" t="s">
        <v>1080</v>
      </c>
      <c r="B62" s="88" t="s">
        <v>443</v>
      </c>
      <c r="C62" s="88" t="s">
        <v>528</v>
      </c>
      <c r="D62" s="88" t="s">
        <v>529</v>
      </c>
      <c r="E62" s="88" t="s">
        <v>477</v>
      </c>
      <c r="F62" s="88">
        <v>2023</v>
      </c>
      <c r="G62" s="88" t="s">
        <v>1083</v>
      </c>
      <c r="H62" s="84"/>
      <c r="I62" s="84"/>
      <c r="J62" s="84"/>
      <c r="K62" s="84"/>
      <c r="L62" s="84"/>
      <c r="M62" s="84"/>
      <c r="N62" s="84"/>
      <c r="O62" s="84"/>
      <c r="P62" s="84"/>
      <c r="Q62" s="84"/>
      <c r="R62" s="84"/>
      <c r="S62" s="84"/>
      <c r="T62" s="84"/>
      <c r="U62" s="84"/>
      <c r="V62" s="84"/>
      <c r="W62" s="84"/>
      <c r="X62" s="84"/>
      <c r="Y62" s="84"/>
      <c r="Z62" s="84"/>
    </row>
    <row r="63" spans="1:26" ht="42" customHeight="1">
      <c r="A63" s="88" t="s">
        <v>1080</v>
      </c>
      <c r="B63" s="88" t="s">
        <v>269</v>
      </c>
      <c r="C63" s="88" t="s">
        <v>1084</v>
      </c>
      <c r="D63" s="88" t="s">
        <v>99</v>
      </c>
      <c r="E63" s="88" t="s">
        <v>100</v>
      </c>
      <c r="F63" s="88">
        <v>2024</v>
      </c>
      <c r="G63" s="88" t="s">
        <v>106</v>
      </c>
      <c r="H63" s="84"/>
      <c r="I63" s="84"/>
      <c r="J63" s="84"/>
      <c r="K63" s="84"/>
      <c r="L63" s="84"/>
      <c r="M63" s="84"/>
      <c r="N63" s="84"/>
      <c r="O63" s="84"/>
      <c r="P63" s="84"/>
      <c r="Q63" s="84"/>
      <c r="R63" s="84"/>
      <c r="S63" s="84"/>
      <c r="T63" s="84"/>
      <c r="U63" s="84"/>
      <c r="V63" s="84"/>
      <c r="W63" s="84"/>
      <c r="X63" s="84"/>
      <c r="Y63" s="84"/>
      <c r="Z63" s="84"/>
    </row>
    <row r="64" spans="1:26" ht="42" customHeight="1">
      <c r="A64" s="88" t="s">
        <v>1080</v>
      </c>
      <c r="B64" s="88" t="s">
        <v>1085</v>
      </c>
      <c r="C64" s="88" t="s">
        <v>1086</v>
      </c>
      <c r="D64" s="88" t="s">
        <v>539</v>
      </c>
      <c r="E64" s="88" t="s">
        <v>477</v>
      </c>
      <c r="F64" s="88">
        <v>2025</v>
      </c>
      <c r="G64" s="88" t="s">
        <v>544</v>
      </c>
      <c r="H64" s="84"/>
      <c r="I64" s="84"/>
      <c r="J64" s="84"/>
      <c r="K64" s="84"/>
      <c r="L64" s="84"/>
      <c r="M64" s="84"/>
      <c r="N64" s="84"/>
      <c r="O64" s="84"/>
      <c r="P64" s="84"/>
      <c r="Q64" s="84"/>
      <c r="R64" s="84"/>
      <c r="S64" s="84"/>
      <c r="T64" s="84"/>
      <c r="U64" s="84"/>
      <c r="V64" s="84"/>
      <c r="W64" s="84"/>
      <c r="X64" s="84"/>
      <c r="Y64" s="84"/>
      <c r="Z64" s="84"/>
    </row>
    <row r="65" spans="1:26" ht="42" customHeight="1">
      <c r="A65" s="88" t="s">
        <v>1080</v>
      </c>
      <c r="B65" s="88" t="s">
        <v>1015</v>
      </c>
      <c r="C65" s="88" t="s">
        <v>868</v>
      </c>
      <c r="D65" s="88" t="s">
        <v>1087</v>
      </c>
      <c r="E65" s="88" t="s">
        <v>870</v>
      </c>
      <c r="F65" s="88">
        <v>2025</v>
      </c>
      <c r="G65" s="88" t="s">
        <v>875</v>
      </c>
      <c r="H65" s="84"/>
      <c r="I65" s="84"/>
      <c r="J65" s="84"/>
      <c r="K65" s="84"/>
      <c r="L65" s="84"/>
      <c r="M65" s="84"/>
      <c r="N65" s="84"/>
      <c r="O65" s="84"/>
      <c r="P65" s="84"/>
      <c r="Q65" s="84"/>
      <c r="R65" s="84"/>
      <c r="S65" s="84"/>
      <c r="T65" s="84"/>
      <c r="U65" s="84"/>
      <c r="V65" s="84"/>
      <c r="W65" s="84"/>
      <c r="X65" s="84"/>
      <c r="Y65" s="84"/>
      <c r="Z65" s="84"/>
    </row>
    <row r="66" spans="1:26" ht="42" customHeight="1">
      <c r="A66" s="88" t="s">
        <v>1080</v>
      </c>
      <c r="B66" s="88" t="s">
        <v>1088</v>
      </c>
      <c r="C66" s="88" t="s">
        <v>611</v>
      </c>
      <c r="D66" s="88" t="s">
        <v>612</v>
      </c>
      <c r="E66" s="88" t="s">
        <v>613</v>
      </c>
      <c r="F66" s="88">
        <v>2024</v>
      </c>
      <c r="G66" s="88" t="s">
        <v>1089</v>
      </c>
      <c r="H66" s="84"/>
      <c r="I66" s="84"/>
      <c r="J66" s="84"/>
      <c r="K66" s="84"/>
      <c r="L66" s="84"/>
      <c r="M66" s="84"/>
      <c r="N66" s="84"/>
      <c r="O66" s="84"/>
      <c r="P66" s="84"/>
      <c r="Q66" s="84"/>
      <c r="R66" s="84"/>
      <c r="S66" s="84"/>
      <c r="T66" s="84"/>
      <c r="U66" s="84"/>
      <c r="V66" s="84"/>
      <c r="W66" s="84"/>
      <c r="X66" s="84"/>
      <c r="Y66" s="84"/>
      <c r="Z66" s="84"/>
    </row>
    <row r="67" spans="1:26" ht="42" customHeight="1">
      <c r="A67" s="88" t="s">
        <v>1080</v>
      </c>
      <c r="B67" s="88" t="s">
        <v>1090</v>
      </c>
      <c r="C67" s="88" t="s">
        <v>1091</v>
      </c>
      <c r="D67" s="88" t="s">
        <v>460</v>
      </c>
      <c r="E67" s="88" t="s">
        <v>132</v>
      </c>
      <c r="F67" s="88">
        <v>2026</v>
      </c>
      <c r="G67" s="88" t="s">
        <v>466</v>
      </c>
      <c r="H67" s="84"/>
      <c r="I67" s="84"/>
      <c r="J67" s="84"/>
      <c r="K67" s="84"/>
      <c r="L67" s="84"/>
      <c r="M67" s="84"/>
      <c r="N67" s="84"/>
      <c r="O67" s="84"/>
      <c r="P67" s="84"/>
      <c r="Q67" s="84"/>
      <c r="R67" s="84"/>
      <c r="S67" s="84"/>
      <c r="T67" s="84"/>
      <c r="U67" s="84"/>
      <c r="V67" s="84"/>
      <c r="W67" s="84"/>
      <c r="X67" s="84"/>
      <c r="Y67" s="84"/>
      <c r="Z67" s="84"/>
    </row>
    <row r="68" spans="1:26" ht="19.5" customHeight="1">
      <c r="A68" s="357" t="s">
        <v>1477</v>
      </c>
      <c r="B68" s="349"/>
      <c r="C68" s="349"/>
      <c r="D68" s="349"/>
      <c r="E68" s="349"/>
      <c r="F68" s="349"/>
      <c r="G68" s="350"/>
      <c r="H68" s="84"/>
      <c r="I68" s="84"/>
      <c r="J68" s="84"/>
      <c r="K68" s="84"/>
      <c r="L68" s="84"/>
      <c r="M68" s="84"/>
      <c r="N68" s="84"/>
      <c r="O68" s="84"/>
      <c r="P68" s="84"/>
      <c r="Q68" s="84"/>
      <c r="R68" s="84"/>
      <c r="S68" s="84"/>
      <c r="T68" s="84"/>
      <c r="U68" s="84"/>
      <c r="V68" s="84"/>
      <c r="W68" s="84"/>
      <c r="X68" s="84"/>
      <c r="Y68" s="84"/>
      <c r="Z68" s="84"/>
    </row>
    <row r="69" spans="1:26" ht="42" customHeight="1">
      <c r="A69" s="89" t="s">
        <v>1092</v>
      </c>
      <c r="B69" s="89" t="s">
        <v>1093</v>
      </c>
      <c r="C69" s="89" t="s">
        <v>1094</v>
      </c>
      <c r="D69" s="89" t="s">
        <v>726</v>
      </c>
      <c r="E69" s="89" t="s">
        <v>641</v>
      </c>
      <c r="F69" s="89">
        <v>2021</v>
      </c>
      <c r="G69" s="89" t="s">
        <v>1095</v>
      </c>
      <c r="H69" s="84"/>
      <c r="I69" s="84"/>
      <c r="J69" s="84"/>
      <c r="K69" s="84"/>
      <c r="L69" s="84"/>
      <c r="M69" s="84"/>
      <c r="N69" s="84"/>
      <c r="O69" s="84"/>
      <c r="P69" s="84"/>
      <c r="Q69" s="84"/>
      <c r="R69" s="84"/>
      <c r="S69" s="84"/>
      <c r="T69" s="84"/>
      <c r="U69" s="84"/>
      <c r="V69" s="84"/>
      <c r="W69" s="84"/>
      <c r="X69" s="84"/>
      <c r="Y69" s="84"/>
      <c r="Z69" s="84"/>
    </row>
    <row r="70" spans="1:26" ht="42" customHeight="1">
      <c r="A70" s="89" t="s">
        <v>1092</v>
      </c>
      <c r="B70" s="89" t="s">
        <v>1015</v>
      </c>
      <c r="C70" s="89" t="s">
        <v>1096</v>
      </c>
      <c r="D70" s="89" t="s">
        <v>898</v>
      </c>
      <c r="E70" s="89" t="s">
        <v>870</v>
      </c>
      <c r="F70" s="89">
        <v>2025</v>
      </c>
      <c r="G70" s="89" t="s">
        <v>1097</v>
      </c>
      <c r="H70" s="84"/>
      <c r="I70" s="84"/>
      <c r="J70" s="84"/>
      <c r="K70" s="84"/>
      <c r="L70" s="84"/>
      <c r="M70" s="84"/>
      <c r="N70" s="84"/>
      <c r="O70" s="84"/>
      <c r="P70" s="84"/>
      <c r="Q70" s="84"/>
      <c r="R70" s="84"/>
      <c r="S70" s="84"/>
      <c r="T70" s="84"/>
      <c r="U70" s="84"/>
      <c r="V70" s="84"/>
      <c r="W70" s="84"/>
      <c r="X70" s="84"/>
      <c r="Y70" s="84"/>
      <c r="Z70" s="84"/>
    </row>
    <row r="71" spans="1:26" ht="42" customHeight="1">
      <c r="A71" s="89" t="s">
        <v>1092</v>
      </c>
      <c r="B71" s="89" t="s">
        <v>303</v>
      </c>
      <c r="C71" s="89" t="s">
        <v>501</v>
      </c>
      <c r="D71" s="89" t="s">
        <v>502</v>
      </c>
      <c r="E71" s="89" t="s">
        <v>477</v>
      </c>
      <c r="F71" s="89">
        <v>2021</v>
      </c>
      <c r="G71" s="89" t="s">
        <v>1098</v>
      </c>
      <c r="H71" s="84"/>
      <c r="I71" s="84"/>
      <c r="J71" s="84"/>
      <c r="K71" s="84"/>
      <c r="L71" s="84"/>
      <c r="M71" s="84"/>
      <c r="N71" s="84"/>
      <c r="O71" s="84"/>
      <c r="P71" s="84"/>
      <c r="Q71" s="84"/>
      <c r="R71" s="84"/>
      <c r="S71" s="84"/>
      <c r="T71" s="84"/>
      <c r="U71" s="84"/>
      <c r="V71" s="84"/>
      <c r="W71" s="84"/>
      <c r="X71" s="84"/>
      <c r="Y71" s="84"/>
      <c r="Z71" s="84"/>
    </row>
    <row r="72" spans="1:26" ht="42" customHeight="1">
      <c r="A72" s="89" t="s">
        <v>1092</v>
      </c>
      <c r="B72" s="89" t="s">
        <v>1015</v>
      </c>
      <c r="C72" s="89" t="s">
        <v>1099</v>
      </c>
      <c r="D72" s="89" t="s">
        <v>921</v>
      </c>
      <c r="E72" s="89" t="s">
        <v>922</v>
      </c>
      <c r="F72" s="89">
        <v>2025</v>
      </c>
      <c r="G72" s="89" t="s">
        <v>926</v>
      </c>
      <c r="H72" s="84"/>
      <c r="I72" s="84"/>
      <c r="J72" s="84"/>
      <c r="K72" s="84"/>
      <c r="L72" s="84"/>
      <c r="M72" s="84"/>
      <c r="N72" s="84"/>
      <c r="O72" s="84"/>
      <c r="P72" s="84"/>
      <c r="Q72" s="84"/>
      <c r="R72" s="84"/>
      <c r="S72" s="84"/>
      <c r="T72" s="84"/>
      <c r="U72" s="84"/>
      <c r="V72" s="84"/>
      <c r="W72" s="84"/>
      <c r="X72" s="84"/>
      <c r="Y72" s="84"/>
      <c r="Z72" s="84"/>
    </row>
    <row r="73" spans="1:26" ht="42" customHeight="1">
      <c r="A73" s="277" t="s">
        <v>1092</v>
      </c>
      <c r="B73" s="277" t="s">
        <v>1015</v>
      </c>
      <c r="C73" s="277" t="s">
        <v>1100</v>
      </c>
      <c r="D73" s="277" t="s">
        <v>1101</v>
      </c>
      <c r="E73" s="277" t="s">
        <v>477</v>
      </c>
      <c r="F73" s="277">
        <v>2021</v>
      </c>
      <c r="G73" s="277" t="s">
        <v>909</v>
      </c>
      <c r="H73" s="276"/>
      <c r="I73" s="276"/>
      <c r="J73" s="84"/>
      <c r="K73" s="84"/>
      <c r="L73" s="84"/>
      <c r="M73" s="84"/>
      <c r="N73" s="84"/>
      <c r="O73" s="84"/>
      <c r="P73" s="84"/>
      <c r="Q73" s="84"/>
      <c r="R73" s="84"/>
      <c r="S73" s="84"/>
      <c r="T73" s="84"/>
      <c r="U73" s="84"/>
      <c r="V73" s="84"/>
      <c r="W73" s="84"/>
      <c r="X73" s="84"/>
      <c r="Y73" s="84"/>
      <c r="Z73" s="84"/>
    </row>
    <row r="74" spans="1:26" ht="42" customHeight="1">
      <c r="A74" s="89" t="s">
        <v>1092</v>
      </c>
      <c r="B74" s="89" t="s">
        <v>505</v>
      </c>
      <c r="C74" s="89" t="s">
        <v>174</v>
      </c>
      <c r="D74" s="89" t="s">
        <v>175</v>
      </c>
      <c r="E74" s="89" t="s">
        <v>132</v>
      </c>
      <c r="F74" s="89">
        <v>2022</v>
      </c>
      <c r="G74" s="89" t="s">
        <v>181</v>
      </c>
      <c r="H74" s="84"/>
      <c r="I74" s="84"/>
      <c r="J74" s="84"/>
      <c r="K74" s="84"/>
      <c r="L74" s="84"/>
      <c r="M74" s="84"/>
      <c r="N74" s="84"/>
      <c r="O74" s="84"/>
      <c r="P74" s="84"/>
      <c r="Q74" s="84"/>
      <c r="R74" s="84"/>
      <c r="S74" s="84"/>
      <c r="T74" s="84"/>
      <c r="U74" s="84"/>
      <c r="V74" s="84"/>
      <c r="W74" s="84"/>
      <c r="X74" s="84"/>
      <c r="Y74" s="84"/>
      <c r="Z74" s="84"/>
    </row>
    <row r="75" spans="1:26" ht="42" customHeight="1">
      <c r="A75" s="277" t="s">
        <v>1092</v>
      </c>
      <c r="B75" s="277" t="s">
        <v>1102</v>
      </c>
      <c r="C75" s="277" t="s">
        <v>650</v>
      </c>
      <c r="D75" s="277" t="s">
        <v>28</v>
      </c>
      <c r="E75" s="277" t="s">
        <v>651</v>
      </c>
      <c r="F75" s="277">
        <v>2025</v>
      </c>
      <c r="G75" s="277" t="s">
        <v>655</v>
      </c>
      <c r="H75" s="276"/>
      <c r="I75" s="276"/>
      <c r="J75" s="84"/>
      <c r="K75" s="84"/>
      <c r="L75" s="84"/>
      <c r="M75" s="84"/>
      <c r="N75" s="84"/>
      <c r="O75" s="84"/>
      <c r="P75" s="84"/>
      <c r="Q75" s="84"/>
      <c r="R75" s="84"/>
      <c r="S75" s="84"/>
      <c r="T75" s="84"/>
      <c r="U75" s="84"/>
      <c r="V75" s="84"/>
      <c r="W75" s="84"/>
      <c r="X75" s="84"/>
      <c r="Y75" s="84"/>
      <c r="Z75" s="84"/>
    </row>
    <row r="76" spans="1:26" ht="42" customHeight="1">
      <c r="A76" s="89" t="s">
        <v>1092</v>
      </c>
      <c r="B76" s="89" t="s">
        <v>1103</v>
      </c>
      <c r="C76" s="89" t="s">
        <v>1104</v>
      </c>
      <c r="D76" s="89" t="s">
        <v>714</v>
      </c>
      <c r="E76" s="89" t="s">
        <v>715</v>
      </c>
      <c r="F76" s="89">
        <v>2024</v>
      </c>
      <c r="G76" s="89" t="s">
        <v>1105</v>
      </c>
      <c r="H76" s="84"/>
      <c r="I76" s="84"/>
      <c r="J76" s="84"/>
      <c r="K76" s="84"/>
      <c r="L76" s="84"/>
      <c r="M76" s="84"/>
      <c r="N76" s="84"/>
      <c r="O76" s="84"/>
      <c r="P76" s="84"/>
      <c r="Q76" s="84"/>
      <c r="R76" s="84"/>
      <c r="S76" s="84"/>
      <c r="T76" s="84"/>
      <c r="U76" s="84"/>
      <c r="V76" s="84"/>
      <c r="W76" s="84"/>
      <c r="X76" s="84"/>
      <c r="Y76" s="84"/>
      <c r="Z76" s="84"/>
    </row>
    <row r="77" spans="1:26" ht="19.5" customHeight="1">
      <c r="A77" s="358" t="s">
        <v>1477</v>
      </c>
      <c r="B77" s="349"/>
      <c r="C77" s="349"/>
      <c r="D77" s="349"/>
      <c r="E77" s="349"/>
      <c r="F77" s="349"/>
      <c r="G77" s="350"/>
      <c r="H77" s="84"/>
      <c r="I77" s="84"/>
      <c r="J77" s="84"/>
      <c r="K77" s="84"/>
      <c r="L77" s="84"/>
      <c r="M77" s="84"/>
      <c r="N77" s="84"/>
      <c r="O77" s="84"/>
      <c r="P77" s="84"/>
      <c r="Q77" s="84"/>
      <c r="R77" s="84"/>
      <c r="S77" s="84"/>
      <c r="T77" s="84"/>
      <c r="U77" s="84"/>
      <c r="V77" s="84"/>
      <c r="W77" s="84"/>
      <c r="X77" s="84"/>
      <c r="Y77" s="84"/>
      <c r="Z77" s="84"/>
    </row>
    <row r="78" spans="1:26" ht="42" customHeight="1">
      <c r="A78" s="90" t="s">
        <v>1106</v>
      </c>
      <c r="B78" s="90" t="s">
        <v>1107</v>
      </c>
      <c r="C78" s="90" t="s">
        <v>1108</v>
      </c>
      <c r="D78" s="90" t="s">
        <v>1109</v>
      </c>
      <c r="E78" s="90" t="s">
        <v>121</v>
      </c>
      <c r="F78" s="90">
        <v>2024</v>
      </c>
      <c r="G78" s="90" t="s">
        <v>128</v>
      </c>
      <c r="H78" s="84"/>
      <c r="I78" s="84"/>
      <c r="J78" s="84"/>
      <c r="K78" s="84"/>
      <c r="L78" s="84"/>
      <c r="M78" s="84"/>
      <c r="N78" s="84"/>
      <c r="O78" s="84"/>
      <c r="P78" s="84"/>
      <c r="Q78" s="84"/>
      <c r="R78" s="84"/>
      <c r="S78" s="84"/>
      <c r="T78" s="84"/>
      <c r="U78" s="84"/>
      <c r="V78" s="84"/>
      <c r="W78" s="84"/>
      <c r="X78" s="84"/>
      <c r="Y78" s="84"/>
      <c r="Z78" s="84"/>
    </row>
    <row r="79" spans="1:26" ht="42" customHeight="1">
      <c r="A79" s="90" t="s">
        <v>1106</v>
      </c>
      <c r="B79" s="90" t="s">
        <v>1110</v>
      </c>
      <c r="C79" s="90" t="s">
        <v>406</v>
      </c>
      <c r="D79" s="90" t="s">
        <v>407</v>
      </c>
      <c r="E79" s="90" t="s">
        <v>408</v>
      </c>
      <c r="F79" s="90">
        <v>2019</v>
      </c>
      <c r="G79" s="90" t="s">
        <v>414</v>
      </c>
      <c r="H79" s="84"/>
      <c r="I79" s="84"/>
      <c r="J79" s="84"/>
      <c r="K79" s="84"/>
      <c r="L79" s="84"/>
      <c r="M79" s="84"/>
      <c r="N79" s="84"/>
      <c r="O79" s="84"/>
      <c r="P79" s="84"/>
      <c r="Q79" s="84"/>
      <c r="R79" s="84"/>
      <c r="S79" s="84"/>
      <c r="T79" s="84"/>
      <c r="U79" s="84"/>
      <c r="V79" s="84"/>
      <c r="W79" s="84"/>
      <c r="X79" s="84"/>
      <c r="Y79" s="84"/>
      <c r="Z79" s="84"/>
    </row>
    <row r="80" spans="1:26" ht="42" customHeight="1">
      <c r="A80" s="278" t="s">
        <v>1092</v>
      </c>
      <c r="B80" s="278" t="s">
        <v>1111</v>
      </c>
      <c r="C80" s="278" t="s">
        <v>1112</v>
      </c>
      <c r="D80" s="90" t="s">
        <v>493</v>
      </c>
      <c r="E80" s="90" t="s">
        <v>477</v>
      </c>
      <c r="F80" s="90">
        <v>2020</v>
      </c>
      <c r="G80" s="90" t="s">
        <v>498</v>
      </c>
      <c r="H80" s="84"/>
      <c r="I80" s="84" t="s">
        <v>1354</v>
      </c>
      <c r="J80" s="84"/>
      <c r="K80" s="84"/>
      <c r="L80" s="84"/>
      <c r="M80" s="84"/>
      <c r="N80" s="84"/>
      <c r="O80" s="84"/>
      <c r="P80" s="84"/>
      <c r="Q80" s="84"/>
      <c r="R80" s="84"/>
      <c r="S80" s="84"/>
      <c r="T80" s="84"/>
      <c r="U80" s="84"/>
      <c r="V80" s="84"/>
      <c r="W80" s="84"/>
      <c r="X80" s="84"/>
      <c r="Y80" s="84"/>
      <c r="Z80" s="84"/>
    </row>
    <row r="81" spans="1:26" ht="42" customHeight="1">
      <c r="A81" s="90" t="s">
        <v>1106</v>
      </c>
      <c r="B81" s="90" t="s">
        <v>135</v>
      </c>
      <c r="C81" s="91" t="s">
        <v>1113</v>
      </c>
      <c r="D81" s="90" t="s">
        <v>521</v>
      </c>
      <c r="E81" s="90" t="s">
        <v>477</v>
      </c>
      <c r="F81" s="90">
        <v>2021</v>
      </c>
      <c r="G81" s="91" t="s">
        <v>1114</v>
      </c>
      <c r="H81" s="84"/>
      <c r="I81" s="84"/>
      <c r="J81" s="84"/>
      <c r="K81" s="84"/>
      <c r="L81" s="84"/>
      <c r="M81" s="84"/>
      <c r="N81" s="84"/>
      <c r="O81" s="84"/>
      <c r="P81" s="84"/>
      <c r="Q81" s="84"/>
      <c r="R81" s="84"/>
      <c r="S81" s="84"/>
      <c r="T81" s="84"/>
      <c r="U81" s="84"/>
      <c r="V81" s="84"/>
      <c r="W81" s="84"/>
      <c r="X81" s="84"/>
      <c r="Y81" s="84"/>
      <c r="Z81" s="84"/>
    </row>
    <row r="82" spans="1:26" ht="42" customHeight="1">
      <c r="A82" s="90" t="s">
        <v>1106</v>
      </c>
      <c r="B82" s="90" t="s">
        <v>1115</v>
      </c>
      <c r="C82" s="90" t="s">
        <v>787</v>
      </c>
      <c r="D82" s="90" t="s">
        <v>788</v>
      </c>
      <c r="E82" s="90" t="s">
        <v>641</v>
      </c>
      <c r="F82" s="90">
        <v>2017</v>
      </c>
      <c r="G82" s="90" t="s">
        <v>795</v>
      </c>
      <c r="H82" s="84"/>
      <c r="I82" s="84"/>
      <c r="J82" s="84"/>
      <c r="K82" s="84"/>
      <c r="L82" s="84"/>
      <c r="M82" s="84"/>
      <c r="N82" s="84"/>
      <c r="O82" s="84"/>
      <c r="P82" s="84"/>
      <c r="Q82" s="84"/>
      <c r="R82" s="84"/>
      <c r="S82" s="84"/>
      <c r="T82" s="84"/>
      <c r="U82" s="84"/>
      <c r="V82" s="84"/>
      <c r="W82" s="84"/>
      <c r="X82" s="84"/>
      <c r="Y82" s="84"/>
      <c r="Z82" s="84"/>
    </row>
    <row r="83" spans="1:26" ht="19.5" customHeight="1">
      <c r="A83" s="359" t="s">
        <v>1477</v>
      </c>
      <c r="B83" s="349"/>
      <c r="C83" s="349"/>
      <c r="D83" s="349"/>
      <c r="E83" s="349"/>
      <c r="F83" s="349"/>
      <c r="G83" s="350"/>
      <c r="H83" s="84"/>
      <c r="I83" s="84"/>
      <c r="J83" s="84"/>
      <c r="K83" s="84"/>
      <c r="L83" s="84"/>
      <c r="M83" s="84"/>
      <c r="N83" s="84"/>
      <c r="O83" s="84"/>
      <c r="P83" s="84"/>
      <c r="Q83" s="84"/>
      <c r="R83" s="84"/>
      <c r="S83" s="84"/>
      <c r="T83" s="84"/>
      <c r="U83" s="84"/>
      <c r="V83" s="84"/>
      <c r="W83" s="84"/>
      <c r="X83" s="84"/>
      <c r="Y83" s="84"/>
      <c r="Z83" s="84"/>
    </row>
    <row r="84" spans="1:26" ht="42" customHeight="1">
      <c r="A84" s="92" t="s">
        <v>1116</v>
      </c>
      <c r="B84" s="93" t="s">
        <v>1117</v>
      </c>
      <c r="C84" s="92" t="s">
        <v>1118</v>
      </c>
      <c r="D84" s="93" t="s">
        <v>695</v>
      </c>
      <c r="E84" s="93" t="s">
        <v>651</v>
      </c>
      <c r="F84" s="93">
        <v>2026</v>
      </c>
      <c r="G84" s="92" t="s">
        <v>1119</v>
      </c>
      <c r="H84" s="84"/>
      <c r="I84" s="84"/>
      <c r="J84" s="84"/>
      <c r="K84" s="84"/>
      <c r="L84" s="84"/>
      <c r="M84" s="84"/>
      <c r="N84" s="84"/>
      <c r="O84" s="84"/>
      <c r="P84" s="84"/>
      <c r="Q84" s="84"/>
      <c r="R84" s="84"/>
      <c r="S84" s="84"/>
      <c r="T84" s="84"/>
      <c r="U84" s="84"/>
      <c r="V84" s="84"/>
      <c r="W84" s="84"/>
      <c r="X84" s="84"/>
      <c r="Y84" s="84"/>
      <c r="Z84" s="84"/>
    </row>
    <row r="85" spans="1:26" ht="42" customHeight="1">
      <c r="A85" s="92" t="s">
        <v>1116</v>
      </c>
      <c r="B85" s="93" t="s">
        <v>1120</v>
      </c>
      <c r="C85" s="92" t="s">
        <v>1121</v>
      </c>
      <c r="D85" s="93" t="s">
        <v>861</v>
      </c>
      <c r="E85" s="93" t="s">
        <v>374</v>
      </c>
      <c r="F85" s="93">
        <v>2025</v>
      </c>
      <c r="G85" s="92" t="s">
        <v>1122</v>
      </c>
      <c r="H85" s="84"/>
      <c r="I85" s="84"/>
      <c r="J85" s="84"/>
      <c r="K85" s="84"/>
      <c r="L85" s="84"/>
      <c r="M85" s="84"/>
      <c r="N85" s="84"/>
      <c r="O85" s="84"/>
      <c r="P85" s="84"/>
      <c r="Q85" s="84"/>
      <c r="R85" s="84"/>
      <c r="S85" s="84"/>
      <c r="T85" s="84"/>
      <c r="U85" s="84"/>
      <c r="V85" s="84"/>
      <c r="W85" s="84"/>
      <c r="X85" s="84"/>
      <c r="Y85" s="84"/>
      <c r="Z85" s="84"/>
    </row>
    <row r="86" spans="1:26" ht="42" customHeight="1">
      <c r="A86" s="92" t="s">
        <v>1116</v>
      </c>
      <c r="B86" s="93" t="s">
        <v>1123</v>
      </c>
      <c r="C86" s="92" t="s">
        <v>1124</v>
      </c>
      <c r="D86" s="93" t="s">
        <v>310</v>
      </c>
      <c r="E86" s="93" t="s">
        <v>132</v>
      </c>
      <c r="F86" s="93">
        <v>2025</v>
      </c>
      <c r="G86" s="92" t="s">
        <v>1125</v>
      </c>
      <c r="H86" s="84"/>
      <c r="I86" s="84"/>
      <c r="J86" s="84"/>
      <c r="K86" s="84"/>
      <c r="L86" s="84"/>
      <c r="M86" s="84"/>
      <c r="N86" s="84"/>
      <c r="O86" s="84"/>
      <c r="P86" s="84"/>
      <c r="Q86" s="84"/>
      <c r="R86" s="84"/>
      <c r="S86" s="84"/>
      <c r="T86" s="84"/>
      <c r="U86" s="84"/>
      <c r="V86" s="84"/>
      <c r="W86" s="84"/>
      <c r="X86" s="84"/>
      <c r="Y86" s="84"/>
      <c r="Z86" s="84"/>
    </row>
    <row r="87" spans="1:26" ht="19.5" customHeight="1">
      <c r="A87" s="360" t="s">
        <v>1477</v>
      </c>
      <c r="B87" s="349"/>
      <c r="C87" s="349"/>
      <c r="D87" s="349"/>
      <c r="E87" s="349"/>
      <c r="F87" s="349"/>
      <c r="G87" s="350"/>
      <c r="H87" s="84"/>
      <c r="I87" s="84"/>
      <c r="J87" s="84"/>
      <c r="K87" s="84"/>
      <c r="L87" s="84"/>
      <c r="M87" s="84"/>
      <c r="N87" s="84"/>
      <c r="O87" s="84"/>
      <c r="P87" s="84"/>
      <c r="Q87" s="84"/>
      <c r="R87" s="84"/>
      <c r="S87" s="84"/>
      <c r="T87" s="84"/>
      <c r="U87" s="84"/>
      <c r="V87" s="84"/>
      <c r="W87" s="84"/>
      <c r="X87" s="84"/>
      <c r="Y87" s="84"/>
      <c r="Z87" s="84"/>
    </row>
    <row r="88" spans="1:26" ht="42" customHeight="1">
      <c r="A88" s="94" t="s">
        <v>1126</v>
      </c>
      <c r="B88" s="94" t="s">
        <v>698</v>
      </c>
      <c r="C88" s="95" t="s">
        <v>1127</v>
      </c>
      <c r="D88" s="94" t="s">
        <v>300</v>
      </c>
      <c r="E88" s="94" t="s">
        <v>132</v>
      </c>
      <c r="F88" s="94">
        <v>2025</v>
      </c>
      <c r="G88" s="94" t="s">
        <v>307</v>
      </c>
      <c r="H88" s="84"/>
      <c r="I88" s="84"/>
      <c r="J88" s="84"/>
      <c r="K88" s="84"/>
      <c r="L88" s="84"/>
      <c r="M88" s="84"/>
      <c r="N88" s="84"/>
      <c r="O88" s="84"/>
      <c r="P88" s="84"/>
      <c r="Q88" s="84"/>
      <c r="R88" s="84"/>
      <c r="S88" s="84"/>
      <c r="T88" s="84"/>
      <c r="U88" s="84"/>
      <c r="V88" s="84"/>
      <c r="W88" s="84"/>
      <c r="X88" s="84"/>
      <c r="Y88" s="84"/>
      <c r="Z88" s="84"/>
    </row>
    <row r="89" spans="1:26" ht="42" customHeight="1">
      <c r="A89" s="94" t="s">
        <v>1126</v>
      </c>
      <c r="B89" s="94" t="s">
        <v>1128</v>
      </c>
      <c r="C89" s="95" t="s">
        <v>1129</v>
      </c>
      <c r="D89" s="94" t="s">
        <v>682</v>
      </c>
      <c r="E89" s="94" t="s">
        <v>683</v>
      </c>
      <c r="F89" s="94">
        <v>2021</v>
      </c>
      <c r="G89" s="95" t="s">
        <v>1130</v>
      </c>
      <c r="H89" s="84"/>
      <c r="I89" s="84"/>
      <c r="J89" s="84"/>
      <c r="K89" s="84"/>
      <c r="L89" s="84"/>
      <c r="M89" s="84"/>
      <c r="N89" s="84"/>
      <c r="O89" s="84"/>
      <c r="P89" s="84"/>
      <c r="Q89" s="84"/>
      <c r="R89" s="84"/>
      <c r="S89" s="84"/>
      <c r="T89" s="84"/>
      <c r="U89" s="84"/>
      <c r="V89" s="84"/>
      <c r="W89" s="84"/>
      <c r="X89" s="84"/>
      <c r="Y89" s="84"/>
      <c r="Z89" s="84"/>
    </row>
    <row r="90" spans="1:26" ht="42" customHeight="1">
      <c r="A90" s="94" t="s">
        <v>1126</v>
      </c>
      <c r="B90" s="94" t="s">
        <v>1015</v>
      </c>
      <c r="C90" s="94" t="s">
        <v>878</v>
      </c>
      <c r="D90" s="95" t="s">
        <v>1131</v>
      </c>
      <c r="E90" s="94" t="s">
        <v>35</v>
      </c>
      <c r="F90" s="94">
        <v>2023</v>
      </c>
      <c r="G90" s="95" t="s">
        <v>1132</v>
      </c>
      <c r="H90" s="84"/>
      <c r="I90" s="84"/>
      <c r="J90" s="84"/>
      <c r="K90" s="84"/>
      <c r="L90" s="84"/>
      <c r="M90" s="84"/>
      <c r="N90" s="84"/>
      <c r="O90" s="84"/>
      <c r="P90" s="84"/>
      <c r="Q90" s="84"/>
      <c r="R90" s="84"/>
      <c r="S90" s="84"/>
      <c r="T90" s="84"/>
      <c r="U90" s="84"/>
      <c r="V90" s="84"/>
      <c r="W90" s="84"/>
      <c r="X90" s="84"/>
      <c r="Y90" s="84"/>
      <c r="Z90" s="84"/>
    </row>
    <row r="91" spans="1:26" ht="19.5" customHeight="1">
      <c r="A91" s="348" t="s">
        <v>1477</v>
      </c>
      <c r="B91" s="349"/>
      <c r="C91" s="349"/>
      <c r="D91" s="349"/>
      <c r="E91" s="349"/>
      <c r="F91" s="349"/>
      <c r="G91" s="350"/>
      <c r="H91" s="84"/>
      <c r="I91" s="84"/>
      <c r="J91" s="84"/>
      <c r="K91" s="84"/>
      <c r="L91" s="84"/>
      <c r="M91" s="84"/>
      <c r="N91" s="84"/>
      <c r="O91" s="84"/>
      <c r="P91" s="84"/>
      <c r="Q91" s="84"/>
      <c r="R91" s="84"/>
      <c r="S91" s="84"/>
      <c r="T91" s="84"/>
      <c r="U91" s="84"/>
      <c r="V91" s="84"/>
      <c r="W91" s="84"/>
      <c r="X91" s="84"/>
      <c r="Y91" s="84"/>
      <c r="Z91" s="84"/>
    </row>
    <row r="92" spans="1:26" ht="42" customHeight="1">
      <c r="A92" s="96" t="s">
        <v>1133</v>
      </c>
      <c r="B92" s="96" t="s">
        <v>1134</v>
      </c>
      <c r="C92" s="96" t="s">
        <v>851</v>
      </c>
      <c r="D92" s="96" t="s">
        <v>852</v>
      </c>
      <c r="E92" s="96" t="s">
        <v>374</v>
      </c>
      <c r="F92" s="96">
        <v>2021</v>
      </c>
      <c r="G92" s="96" t="s">
        <v>858</v>
      </c>
      <c r="H92" s="84"/>
      <c r="I92" s="84"/>
      <c r="J92" s="84"/>
      <c r="K92" s="84"/>
      <c r="L92" s="84"/>
      <c r="M92" s="84"/>
      <c r="N92" s="84"/>
      <c r="O92" s="84"/>
      <c r="P92" s="84"/>
      <c r="Q92" s="84"/>
      <c r="R92" s="84"/>
      <c r="S92" s="84"/>
      <c r="T92" s="84"/>
      <c r="U92" s="84"/>
      <c r="V92" s="84"/>
      <c r="W92" s="84"/>
      <c r="X92" s="84"/>
      <c r="Y92" s="84"/>
      <c r="Z92" s="84"/>
    </row>
    <row r="93" spans="1:26" ht="42" customHeight="1">
      <c r="A93" s="96" t="s">
        <v>1133</v>
      </c>
      <c r="B93" s="96" t="s">
        <v>1015</v>
      </c>
      <c r="C93" s="97" t="s">
        <v>1135</v>
      </c>
      <c r="D93" s="96" t="s">
        <v>930</v>
      </c>
      <c r="E93" s="96" t="s">
        <v>931</v>
      </c>
      <c r="F93" s="96">
        <v>2026</v>
      </c>
      <c r="G93" s="97" t="s">
        <v>1136</v>
      </c>
      <c r="H93" s="84"/>
      <c r="I93" s="84"/>
      <c r="J93" s="84"/>
      <c r="K93" s="84"/>
      <c r="L93" s="84"/>
      <c r="M93" s="84"/>
      <c r="N93" s="84"/>
      <c r="O93" s="84"/>
      <c r="P93" s="84"/>
      <c r="Q93" s="84"/>
      <c r="R93" s="84"/>
      <c r="S93" s="84"/>
      <c r="T93" s="84"/>
      <c r="U93" s="84"/>
      <c r="V93" s="84"/>
      <c r="W93" s="84"/>
      <c r="X93" s="84"/>
      <c r="Y93" s="84"/>
      <c r="Z93" s="84"/>
    </row>
    <row r="94" spans="1:26" ht="19.5" customHeight="1">
      <c r="A94" s="351" t="s">
        <v>1477</v>
      </c>
      <c r="B94" s="349"/>
      <c r="C94" s="349"/>
      <c r="D94" s="349"/>
      <c r="E94" s="349"/>
      <c r="F94" s="349"/>
      <c r="G94" s="350"/>
      <c r="H94" s="84"/>
      <c r="I94" s="84"/>
      <c r="J94" s="84"/>
      <c r="K94" s="84"/>
      <c r="L94" s="84"/>
      <c r="M94" s="84"/>
      <c r="N94" s="84"/>
      <c r="O94" s="84"/>
      <c r="P94" s="84"/>
      <c r="Q94" s="84"/>
      <c r="R94" s="84"/>
      <c r="S94" s="84"/>
      <c r="T94" s="84"/>
      <c r="U94" s="84"/>
      <c r="V94" s="84"/>
      <c r="W94" s="84"/>
      <c r="X94" s="84"/>
      <c r="Y94" s="84"/>
      <c r="Z94" s="84"/>
    </row>
    <row r="95" spans="1:26" ht="42" customHeight="1">
      <c r="A95" s="98" t="s">
        <v>1137</v>
      </c>
      <c r="B95" s="98" t="s">
        <v>1138</v>
      </c>
      <c r="C95" s="99" t="s">
        <v>1139</v>
      </c>
      <c r="D95" s="99" t="s">
        <v>1140</v>
      </c>
      <c r="E95" s="98" t="s">
        <v>365</v>
      </c>
      <c r="F95" s="98">
        <v>2025</v>
      </c>
      <c r="G95" s="98" t="s">
        <v>370</v>
      </c>
      <c r="H95" s="84"/>
      <c r="I95" s="84"/>
      <c r="J95" s="84"/>
      <c r="K95" s="84"/>
      <c r="L95" s="84"/>
      <c r="M95" s="84"/>
      <c r="N95" s="84"/>
      <c r="O95" s="84"/>
      <c r="P95" s="84"/>
      <c r="Q95" s="84"/>
      <c r="R95" s="84"/>
      <c r="S95" s="84"/>
      <c r="T95" s="84"/>
      <c r="U95" s="84"/>
      <c r="V95" s="84"/>
      <c r="W95" s="84"/>
      <c r="X95" s="84"/>
      <c r="Y95" s="84"/>
      <c r="Z95" s="84"/>
    </row>
    <row r="96" spans="1:26" ht="12.7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spans="1:26" ht="12.7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spans="1:26" ht="18" customHeight="1">
      <c r="A98" s="100" t="s">
        <v>1141</v>
      </c>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spans="1:26" ht="18" customHeight="1">
      <c r="A99" s="101" t="s">
        <v>1142</v>
      </c>
      <c r="B99" s="101" t="s">
        <v>1143</v>
      </c>
      <c r="C99" s="101" t="s">
        <v>1144</v>
      </c>
      <c r="D99" s="84"/>
      <c r="E99" s="84"/>
      <c r="F99" s="84"/>
      <c r="G99" s="84"/>
      <c r="H99" s="84"/>
      <c r="I99" s="84"/>
      <c r="J99" s="84"/>
      <c r="K99" s="84"/>
      <c r="L99" s="84"/>
      <c r="M99" s="84"/>
      <c r="N99" s="84"/>
      <c r="O99" s="84"/>
      <c r="P99" s="84"/>
      <c r="Q99" s="84"/>
      <c r="R99" s="84"/>
      <c r="S99" s="84"/>
      <c r="T99" s="84"/>
      <c r="U99" s="84"/>
      <c r="V99" s="84"/>
      <c r="W99" s="84"/>
      <c r="X99" s="84"/>
      <c r="Y99" s="84"/>
      <c r="Z99" s="84"/>
    </row>
    <row r="100" spans="1:26" ht="18" customHeight="1">
      <c r="A100" s="281" t="s">
        <v>975</v>
      </c>
      <c r="B100" s="282">
        <v>54</v>
      </c>
      <c r="C100" s="323" t="s">
        <v>1486</v>
      </c>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spans="1:26" ht="18" customHeight="1">
      <c r="A101" s="283" t="s">
        <v>1080</v>
      </c>
      <c r="B101" s="282">
        <v>7</v>
      </c>
      <c r="C101" s="323" t="s">
        <v>1487</v>
      </c>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spans="1:26" ht="18" customHeight="1">
      <c r="A102" s="284" t="s">
        <v>1092</v>
      </c>
      <c r="B102" s="282">
        <v>7</v>
      </c>
      <c r="C102" s="323" t="s">
        <v>1487</v>
      </c>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spans="1:26" ht="18" customHeight="1">
      <c r="A103" s="285" t="s">
        <v>1106</v>
      </c>
      <c r="B103" s="282">
        <v>4</v>
      </c>
      <c r="C103" s="323" t="s">
        <v>1488</v>
      </c>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spans="1:26" ht="18" customHeight="1">
      <c r="A104" s="286" t="s">
        <v>1116</v>
      </c>
      <c r="B104" s="282">
        <v>3</v>
      </c>
      <c r="C104" s="323" t="s">
        <v>1489</v>
      </c>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spans="1:26" ht="18" customHeight="1">
      <c r="A105" s="287" t="s">
        <v>1126</v>
      </c>
      <c r="B105" s="282">
        <v>3</v>
      </c>
      <c r="C105" s="323" t="s">
        <v>1489</v>
      </c>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spans="1:26" ht="18" customHeight="1">
      <c r="A106" s="288" t="s">
        <v>1133</v>
      </c>
      <c r="B106" s="282">
        <v>2</v>
      </c>
      <c r="C106" s="323" t="s">
        <v>1490</v>
      </c>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spans="1:26" ht="18" customHeight="1">
      <c r="A107" s="289" t="s">
        <v>1137</v>
      </c>
      <c r="B107" s="282">
        <v>1</v>
      </c>
      <c r="C107" s="323" t="s">
        <v>1491</v>
      </c>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spans="1:26" ht="12.75" customHeight="1">
      <c r="A108" s="290" t="s">
        <v>954</v>
      </c>
      <c r="B108" s="290">
        <v>81</v>
      </c>
      <c r="C108" s="324" t="s">
        <v>1492</v>
      </c>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spans="1:26" ht="12.75"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spans="1:26" ht="12.75"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spans="1:26" ht="12.75"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spans="1:26" ht="12.75"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spans="1:26" ht="12.75"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spans="1:26" ht="12.75"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spans="1:26" ht="12.75"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spans="1:26" ht="12.75"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spans="1:26" ht="12.75"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spans="1:26" ht="12.75"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spans="1:26" ht="12.75"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spans="1:26" ht="12.75"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spans="1:26" ht="12.75"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spans="1:26" ht="12.75"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spans="1:26" ht="12.75"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spans="1:26" ht="12.75"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spans="1:26" ht="12.7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spans="1:26" ht="12.7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spans="1:26" ht="12.75"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spans="1:26" ht="12.75"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spans="1:26" ht="12.75"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spans="1:26" ht="12.7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spans="1:26" ht="12.75"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spans="1:26" ht="12.75"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spans="1:26" ht="12.75"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spans="1:26" ht="12.75"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spans="1:26" ht="12.7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spans="1:26" ht="12.7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spans="1:26" ht="12.7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spans="1:26" ht="12.7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spans="1:26" ht="12.7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spans="1:26" ht="12.7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spans="1:26" ht="12.7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spans="1:26" ht="12.7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spans="1:26" ht="12.7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spans="1:26" ht="12.7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spans="1:26" ht="12.7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spans="1:26" ht="12.7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spans="1:26" ht="12.7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spans="1:26" ht="12.7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spans="1:26" ht="12.7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spans="1:26" ht="12.7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spans="1:26" ht="12.7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spans="1:26" ht="12.7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spans="1:26" ht="12.7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spans="1:26" ht="12.7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spans="1:26" ht="12.7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spans="1:26" ht="12.7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spans="1:26" ht="12.7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spans="1:26" ht="12.7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spans="1:26" ht="12.7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spans="1:26" ht="12.7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spans="1:26" ht="12.7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spans="1:26" ht="12.7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spans="1:26" ht="12.7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spans="1:26" ht="12.7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spans="1:26" ht="12.7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spans="1:26" ht="12.7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spans="1:26" ht="12.7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spans="1:26" ht="12.7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spans="1:26" ht="12.7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spans="1:26" ht="12.7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spans="1:26" ht="12.7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spans="1:26" ht="12.7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spans="1:26" ht="12.7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spans="1:26" ht="12.7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spans="1:26" ht="12.7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spans="1:26" ht="12.7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spans="1:26" ht="12.7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spans="1:26" ht="12.7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spans="1:26" ht="12.7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spans="1:26" ht="12.7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spans="1:26" ht="12.7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spans="1:26" ht="12.7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spans="1:26" ht="12.7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spans="1:26" ht="12.7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spans="1:26" ht="12.7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spans="1:26" ht="12.7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spans="1:26" ht="12.7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spans="1:26" ht="12.7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spans="1:26" ht="12.7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spans="1:26" ht="12.7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spans="1:26" ht="12.7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spans="1:26" ht="12.7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spans="1:26" ht="12.7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spans="1:26" ht="12.7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spans="1:26" ht="12.7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spans="1:26" ht="12.7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spans="1:26" ht="12.7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spans="1:26" ht="12.7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spans="1:26" ht="12.7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spans="1:26" ht="12.7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spans="1:26" ht="12.7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spans="1:26" ht="12.7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spans="1:26" ht="12.7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spans="1:26" ht="12.7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spans="1:26" ht="12.7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spans="1:26" ht="12.7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spans="1:26" ht="12.7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spans="1:26" ht="12.7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spans="1:26" ht="12.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spans="1:26" ht="12.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spans="1:26" ht="12.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spans="1:26" ht="12.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spans="1:26" ht="12.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spans="1:26" ht="12.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spans="1:26" ht="12.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spans="1:26" ht="12.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spans="1:26" ht="12.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spans="1:26" ht="12.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spans="1:26" ht="12.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spans="1:26" ht="12.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spans="1:26" ht="12.7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spans="1:26" ht="12.7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spans="1:26" ht="12.75"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spans="1:26" ht="12.75"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spans="1:26" ht="12.75"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spans="1:26" ht="12.75"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spans="1:26" ht="12.75"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spans="1:26" ht="12.75"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spans="1:26" ht="12.75"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spans="1:26" ht="12.75"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spans="1:26" ht="12.75"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spans="1:26" ht="12.75"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spans="1:26" ht="12.75"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spans="1:26" ht="12.75"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spans="1:26" ht="12.75"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spans="1:26" ht="12.75" customHeigh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spans="1:26" ht="12.75" customHeigh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spans="1:26" ht="12.75" customHeigh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spans="1:26" ht="12.75" customHeigh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spans="1:26" ht="12.75" customHeigh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spans="1:26" ht="12.75" customHeigh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spans="1:26" ht="12.75" customHeigh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spans="1:26" ht="12.75" customHeigh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spans="1:26" ht="12.75" customHeigh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spans="1:26" ht="12.75" customHeigh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spans="1:26" ht="12.75" customHeigh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spans="1:26" ht="12.75" customHeigh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spans="1:26" ht="12.75" customHeigh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spans="1:26" ht="12.75" customHeigh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spans="1:26" ht="12.75" customHeigh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spans="1:26" ht="12.75" customHeight="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spans="1:26" ht="12.75" customHeight="1">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spans="1:26" ht="12.75" customHeight="1">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spans="1:26" ht="12.75" customHeight="1">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spans="1:26" ht="12.75" customHeight="1">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spans="1:26" ht="12.75" customHeight="1">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spans="1:26" ht="12.75" customHeight="1">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spans="1:26" ht="12.75" customHeight="1">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spans="1:26" ht="12.75" customHeight="1">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spans="1:26" ht="12.75" customHeight="1">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spans="1:26" ht="12.75" customHeight="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spans="1:26" ht="12.75" customHeight="1">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spans="1:26" ht="12.75" customHeight="1">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spans="1:26" ht="12.75" customHeight="1">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spans="1:26" ht="12.75" customHeight="1">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spans="1:26" ht="12.75" customHeight="1">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spans="1:26" ht="12.75" customHeight="1">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spans="1:26" ht="12.75" customHeight="1">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spans="1:26" ht="12.75" customHeight="1">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spans="1:26" ht="12.75" customHeight="1">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spans="1:26" ht="12.75" customHeight="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spans="1:26" ht="12.75" customHeight="1">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spans="1:26" ht="12.75" customHeight="1">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spans="1:26" ht="12.75" customHeight="1">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spans="1:26" ht="12.75" customHeight="1">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spans="1:26" ht="12.75" customHeight="1">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spans="1:26" ht="12.75" customHeight="1">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spans="1:26" ht="12.75" customHeight="1">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spans="1:26" ht="12.75" customHeight="1">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spans="1:26" ht="12.75" customHeight="1">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spans="1:26" ht="12.75" customHeight="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spans="1:26" ht="12.75" customHeight="1">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spans="1:26" ht="12.75" customHeight="1">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spans="1:26" ht="12.75" customHeight="1">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spans="1:26" ht="12.75" customHeight="1">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spans="1:26" ht="12.75" customHeight="1">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spans="1:26" ht="12.75" customHeight="1">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spans="1:26" ht="12.75" customHeight="1">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spans="1:26" ht="12.75" customHeight="1">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spans="1:26" ht="12.75" customHeight="1">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spans="1:26" ht="12.75" customHeight="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spans="1:26" ht="12.75" customHeight="1">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spans="1:26" ht="12.75" customHeight="1">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spans="1:26" ht="12.75" customHeight="1">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spans="1:26" ht="12.75" customHeight="1">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spans="1:26" ht="12.75" customHeight="1">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spans="1:26" ht="12.75" customHeight="1">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spans="1:26" ht="12.75" customHeight="1">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spans="1:26" ht="12.75" customHeight="1">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spans="1:26" ht="12.75" customHeight="1">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spans="1:26" ht="12.75" customHeight="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spans="1:26" ht="12.75" customHeight="1">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spans="1:26" ht="12.75" customHeight="1">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spans="1:26" ht="12.75" customHeight="1">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spans="1:26" ht="12.75" customHeight="1">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spans="1:26" ht="12.75" customHeight="1">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spans="1:26" ht="12.75" customHeight="1">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spans="1:26" ht="12.75" customHeight="1">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spans="1:26" ht="12.75" customHeight="1">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spans="1:26" ht="12.75" customHeight="1">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spans="1:26" ht="12.75" customHeight="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spans="1:26" ht="12.75" customHeight="1">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spans="1:26" ht="12.75" customHeight="1">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spans="1:26" ht="12.75" customHeight="1">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spans="1:26" ht="12.75" customHeight="1">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spans="1:26" ht="12.75" customHeight="1">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spans="1:26" ht="12.75" customHeight="1">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spans="1:26" ht="12.75" customHeight="1">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spans="1:26" ht="12.75" customHeight="1">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spans="1:26" ht="12.75" customHeight="1">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spans="1:26" ht="12.75" customHeight="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spans="1:26" ht="12.75" customHeight="1">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spans="1:26" ht="12.75" customHeight="1">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spans="1:26" ht="12.75" customHeight="1">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spans="1:26" ht="12.75" customHeight="1">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spans="1:26" ht="12.75" customHeight="1">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spans="1:26" ht="12.75" customHeight="1">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spans="1:26" ht="12.75" customHeight="1">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spans="1:26" ht="12.75" customHeight="1">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spans="1:26" ht="12.75" customHeight="1">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spans="1:26" ht="12.75" customHeight="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spans="1:26" ht="12.75" customHeight="1">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spans="1:26" ht="12.75" customHeight="1">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spans="1:26" ht="12.75" customHeight="1">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spans="1:26" ht="12.75" customHeight="1">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spans="1:26" ht="12.75" customHeight="1">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spans="1:26" ht="12.75" customHeight="1">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spans="1:26" ht="12.75" customHeight="1">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spans="1:26" ht="12.75" customHeight="1">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spans="1:26" ht="12.75" customHeight="1">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spans="1:26" ht="12.75" customHeight="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spans="1:26" ht="12.75" customHeight="1">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spans="1:26" ht="12.75" customHeight="1">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spans="1:26" ht="12.75" customHeight="1">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spans="1:26" ht="12.75" customHeight="1">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spans="1:26" ht="12.75" customHeight="1">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spans="1:26" ht="12.75" customHeight="1">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spans="1:26" ht="12.75" customHeight="1">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spans="1:26" ht="12.75" customHeight="1">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spans="1:26" ht="12.75" customHeight="1">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spans="1:26" ht="12.75" customHeight="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spans="1:26" ht="12.75" customHeight="1">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spans="1:26" ht="12.75" customHeight="1">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spans="1:26" ht="12.75" customHeight="1">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spans="1:26" ht="12.75" customHeight="1">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spans="1:26" ht="12.75" customHeight="1">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spans="1:26" ht="12.75" customHeight="1">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spans="1:26" ht="12.75" customHeight="1">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spans="1:26" ht="12.75" customHeight="1">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spans="1:26" ht="12.75" customHeight="1">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spans="1:26" ht="12.75" customHeight="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spans="1:26" ht="12.75" customHeight="1">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spans="1:26" ht="12.75" customHeight="1">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spans="1:26" ht="12.75" customHeight="1">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spans="1:26" ht="12.75" customHeight="1">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spans="1:26" ht="12.75" customHeight="1">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spans="1:26" ht="12.75" customHeight="1">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spans="1:26" ht="12.75" customHeight="1">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spans="1:26" ht="12.75" customHeight="1">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spans="1:26" ht="12.75" customHeight="1">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spans="1:26" ht="12.75" customHeight="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spans="1:26" ht="12.75" customHeight="1">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spans="1:26" ht="12.75" customHeight="1">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spans="1:26" ht="12.75" customHeight="1">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spans="1:26" ht="12.75" customHeight="1">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spans="1:26" ht="12.75" customHeight="1">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spans="1:26" ht="12.75" customHeight="1">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spans="1:26" ht="12.75" customHeight="1">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spans="1:26" ht="12.75" customHeight="1">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spans="1:26" ht="12.75" customHeight="1">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spans="1:26" ht="12.75" customHeight="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spans="1:26" ht="12.75" customHeight="1">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spans="1:26" ht="12.75" customHeight="1">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spans="1:26" ht="12.75" customHeight="1">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spans="1:26" ht="12.75" customHeight="1">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spans="1:26" ht="12.75" customHeight="1">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spans="1:26" ht="12.75" customHeight="1">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spans="1:26" ht="12.75" customHeight="1">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spans="1:26" ht="12.75" customHeight="1">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spans="1:26" ht="12.75" customHeight="1">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spans="1:26" ht="12.75" customHeight="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spans="1:26" ht="12.75" customHeight="1">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spans="1:26" ht="12.75" customHeight="1">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spans="1:26" ht="12.75" customHeight="1">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spans="1:26" ht="12.75" customHeight="1">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spans="1:26" ht="12.75" customHeight="1">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spans="1:26" ht="12.75" customHeight="1">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spans="1:26" ht="12.75" customHeight="1">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spans="1:26" ht="12.75" customHeight="1">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spans="1:26" ht="12.75" customHeight="1">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spans="1:26" ht="12.75" customHeight="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spans="1:26" ht="12.75" customHeight="1">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spans="1:26" ht="12.75" customHeight="1">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spans="1:26" ht="12.75" customHeight="1">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spans="1:26" ht="12.75" customHeight="1">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spans="1:26" ht="12.75" customHeight="1">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spans="1:26" ht="12.75" customHeight="1">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spans="1:26" ht="12.75" customHeight="1">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spans="1:26" ht="12.75" customHeight="1">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spans="1:26" ht="12.75" customHeight="1">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spans="1:26" ht="12.75" customHeight="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spans="1:26" ht="12.75" customHeight="1">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spans="1:26" ht="12.75" customHeight="1">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spans="1:26" ht="12.75" customHeight="1">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spans="1:26" ht="12.75" customHeight="1">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spans="1:26" ht="12.75" customHeight="1">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spans="1:26" ht="12.75" customHeight="1">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spans="1:26" ht="12.75" customHeight="1">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spans="1:26" ht="12.75" customHeight="1">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spans="1:26" ht="12.75" customHeight="1">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spans="1:26" ht="12.75" customHeight="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spans="1:26" ht="12.75" customHeight="1">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spans="1:26" ht="12.75" customHeight="1">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spans="1:26" ht="12.75" customHeight="1">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spans="1:26" ht="12.75" customHeight="1">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spans="1:26" ht="12.75" customHeight="1">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spans="1:26" ht="12.75" customHeight="1">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spans="1:26" ht="12.75" customHeight="1">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spans="1:26" ht="12.75" customHeight="1">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spans="1:26" ht="12.75" customHeight="1">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spans="1:26" ht="12.75" customHeight="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spans="1:26" ht="12.75" customHeight="1">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spans="1:26" ht="12.75" customHeight="1">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spans="1:26" ht="12.75" customHeight="1">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spans="1:26" ht="12.75" customHeight="1">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spans="1:26" ht="12.75" customHeight="1">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spans="1:26" ht="12.75" customHeight="1">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spans="1:26" ht="12.75" customHeight="1">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spans="1:26" ht="12.75" customHeight="1">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spans="1:26" ht="12.75" customHeight="1">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spans="1:26" ht="12.75" customHeight="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spans="1:26" ht="12.75" customHeight="1">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spans="1:26" ht="12.75" customHeight="1">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spans="1:26" ht="12.75" customHeight="1">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spans="1:26" ht="12.75" customHeight="1">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spans="1:26" ht="12.75" customHeight="1">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spans="1:26" ht="12.75" customHeight="1">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spans="1:26" ht="12.75" customHeight="1">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spans="1:26" ht="12.75" customHeight="1">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spans="1:26" ht="12.75" customHeight="1">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spans="1:26" ht="12.75" customHeight="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spans="1:26" ht="12.75" customHeight="1">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spans="1:26" ht="12.75" customHeight="1">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spans="1:26" ht="12.75" customHeight="1">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spans="1:26" ht="12.75" customHeight="1">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spans="1:26" ht="12.75" customHeight="1">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spans="1:26" ht="12.75" customHeight="1">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spans="1:26" ht="12.75" customHeight="1">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spans="1:26" ht="12.75" customHeight="1">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spans="1:26" ht="12.75" customHeight="1">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spans="1:26" ht="12.75" customHeight="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spans="1:26" ht="12.75" customHeight="1">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spans="1:26" ht="12.75" customHeight="1">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spans="1:26" ht="12.75" customHeight="1">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spans="1:26" ht="12.75" customHeight="1">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spans="1:26" ht="12.75" customHeight="1">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spans="1:26" ht="12.75" customHeight="1">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spans="1:26" ht="12.75" customHeight="1">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spans="1:26" ht="12.75" customHeight="1">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spans="1:26" ht="12.75" customHeight="1">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spans="1:26" ht="12.75" customHeight="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spans="1:26" ht="12.75" customHeight="1">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spans="1:26" ht="12.75" customHeight="1">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spans="1:26" ht="12.75" customHeight="1">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spans="1:26" ht="12.75" customHeight="1">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spans="1:26" ht="12.75" customHeight="1">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spans="1:26" ht="12.75" customHeight="1">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spans="1:26" ht="12.75" customHeight="1">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spans="1:26" ht="12.75" customHeight="1">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spans="1:26" ht="12.75" customHeight="1">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spans="1:26" ht="12.75" customHeight="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spans="1:26" ht="12.75" customHeight="1">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spans="1:26" ht="12.75" customHeight="1">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spans="1:26" ht="12.75" customHeight="1">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spans="1:26" ht="12.75" customHeight="1">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spans="1:26" ht="12.75" customHeight="1">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spans="1:26" ht="12.75" customHeight="1">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spans="1:26" ht="12.75" customHeight="1">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spans="1:26" ht="12.75" customHeight="1">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spans="1:26" ht="12.75" customHeight="1">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spans="1:26" ht="12.75" customHeight="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spans="1:26" ht="12.75" customHeight="1">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spans="1:26" ht="12.75" customHeight="1">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spans="1:26" ht="12.75" customHeight="1">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spans="1:26" ht="12.75" customHeight="1">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spans="1:26" ht="12.75" customHeight="1">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spans="1:26" ht="12.75" customHeight="1">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spans="1:26" ht="12.75" customHeight="1">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spans="1:26" ht="12.75" customHeight="1">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spans="1:26" ht="12.75" customHeight="1">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spans="1:26" ht="12.75" customHeight="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spans="1:26" ht="12.75" customHeight="1">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spans="1:26" ht="12.75" customHeight="1">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spans="1:26" ht="12.75" customHeight="1">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spans="1:26" ht="12.75" customHeight="1">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spans="1:26" ht="12.75" customHeight="1">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spans="1:26" ht="12.75" customHeight="1">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spans="1:26" ht="12.75" customHeight="1">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spans="1:26" ht="12.75" customHeight="1">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spans="1:26" ht="12.75" customHeight="1">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spans="1:26" ht="12.75" customHeight="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spans="1:26" ht="12.75" customHeight="1">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spans="1:26" ht="12.75" customHeight="1">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spans="1:26" ht="12.75" customHeight="1">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spans="1:26" ht="12.75" customHeight="1">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spans="1:26" ht="12.75" customHeight="1">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spans="1:26" ht="12.75" customHeight="1">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spans="1:26" ht="12.75" customHeight="1">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spans="1:26" ht="12.75" customHeight="1">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spans="1:26" ht="12.75" customHeight="1">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spans="1:26" ht="12.75" customHeight="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spans="1:26" ht="12.75" customHeight="1">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spans="1:26" ht="12.75" customHeight="1">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spans="1:26" ht="12.75" customHeight="1">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spans="1:26" ht="12.75" customHeight="1">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spans="1:26" ht="12.75" customHeight="1">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spans="1:26" ht="12.75" customHeight="1">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spans="1:26" ht="12.75" customHeight="1">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spans="1:26" ht="12.75" customHeight="1">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spans="1:26" ht="12.75" customHeight="1">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spans="1:26" ht="12.75" customHeight="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spans="1:26" ht="12.75" customHeight="1">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spans="1:26" ht="12.75" customHeight="1">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spans="1:26" ht="12.75" customHeight="1">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spans="1:26" ht="12.75" customHeight="1">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spans="1:26" ht="12.75" customHeight="1">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spans="1:26" ht="12.75" customHeight="1">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spans="1:26" ht="12.75" customHeight="1">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spans="1:26" ht="12.75" customHeight="1">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spans="1:26" ht="12.75" customHeight="1">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spans="1:26" ht="12.75" customHeight="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spans="1:26" ht="12.75" customHeight="1">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spans="1:26" ht="12.75" customHeight="1">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spans="1:26" ht="12.75" customHeight="1">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spans="1:26" ht="12.75" customHeight="1">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spans="1:26" ht="12.75" customHeight="1">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spans="1:26" ht="12.75" customHeight="1">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spans="1:26" ht="12.75" customHeight="1">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spans="1:26" ht="12.75" customHeight="1">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spans="1:26" ht="12.75" customHeight="1">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spans="1:26" ht="12.75" customHeight="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spans="1:26" ht="12.75" customHeight="1">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spans="1:26" ht="12.75" customHeight="1">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spans="1:26" ht="12.75" customHeight="1">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spans="1:26" ht="12.75" customHeight="1">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spans="1:26" ht="12.75" customHeight="1">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spans="1:26" ht="12.75" customHeight="1">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spans="1:26" ht="12.75" customHeight="1">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spans="1:26" ht="12.75" customHeight="1">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spans="1:26" ht="12.75" customHeight="1">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spans="1:26" ht="12.75" customHeight="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spans="1:26" ht="12.75" customHeight="1">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spans="1:26" ht="12.75" customHeight="1">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spans="1:26" ht="12.75" customHeight="1">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spans="1:26" ht="12.75" customHeight="1">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spans="1:26" ht="12.75" customHeight="1">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spans="1:26" ht="12.75" customHeight="1">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spans="1:26" ht="12.75" customHeight="1">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spans="1:26" ht="12.75" customHeight="1">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spans="1:26" ht="12.75" customHeight="1">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spans="1:26" ht="12.75" customHeight="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spans="1:26" ht="12.75" customHeight="1">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spans="1:26" ht="12.75" customHeight="1">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spans="1:26" ht="12.75" customHeight="1">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spans="1:26" ht="12.75" customHeight="1">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spans="1:26" ht="12.75" customHeight="1">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spans="1:26" ht="12.75" customHeight="1">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spans="1:26" ht="12.75" customHeight="1">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spans="1:26" ht="12.75" customHeight="1">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spans="1:26" ht="12.75" customHeight="1">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spans="1:26" ht="12.75" customHeight="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spans="1:26" ht="12.75" customHeight="1">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spans="1:26" ht="12.75" customHeight="1">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spans="1:26" ht="12.75" customHeight="1">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spans="1:26" ht="12.75" customHeight="1">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spans="1:26" ht="12.75" customHeight="1">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spans="1:26" ht="12.75" customHeight="1">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spans="1:26" ht="12.75" customHeight="1">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spans="1:26" ht="12.75" customHeight="1">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spans="1:26" ht="12.75" customHeight="1">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spans="1:26" ht="12.75" customHeight="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spans="1:26" ht="12.75" customHeight="1">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spans="1:26" ht="12.75" customHeight="1">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spans="1:26" ht="12.75" customHeight="1">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spans="1:26" ht="12.75" customHeight="1">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spans="1:26" ht="12.75" customHeight="1">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spans="1:26" ht="12.75" customHeight="1">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spans="1:26" ht="12.75" customHeight="1">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spans="1:26" ht="12.75" customHeight="1">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spans="1:26" ht="12.75" customHeight="1">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spans="1:26" ht="12.75" customHeight="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spans="1:26" ht="12.75" customHeight="1">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spans="1:26" ht="12.75" customHeight="1">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spans="1:26" ht="12.75" customHeight="1">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spans="1:26" ht="12.75" customHeight="1">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spans="1:26" ht="12.75" customHeight="1">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spans="1:26" ht="12.75" customHeight="1">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spans="1:26" ht="12.75" customHeight="1">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spans="1:26" ht="12.75" customHeight="1">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spans="1:26" ht="12.75" customHeight="1">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spans="1:26" ht="12.75" customHeight="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spans="1:26" ht="12.75" customHeight="1">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spans="1:26" ht="12.75" customHeight="1">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spans="1:26" ht="12.75" customHeight="1">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spans="1:26" ht="12.75" customHeight="1">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spans="1:26" ht="12.75" customHeight="1">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spans="1:26" ht="12.75" customHeight="1">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spans="1:26" ht="12.75" customHeight="1">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spans="1:26" ht="12.75" customHeight="1">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spans="1:26" ht="12.75" customHeight="1">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spans="1:26" ht="12.75" customHeight="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spans="1:26" ht="12.75" customHeight="1">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spans="1:26" ht="12.75" customHeight="1">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spans="1:26" ht="12.75" customHeight="1">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spans="1:26" ht="12.75" customHeight="1">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spans="1:26" ht="12.75" customHeight="1">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spans="1:26" ht="12.75" customHeight="1">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spans="1:26" ht="12.75" customHeight="1">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spans="1:26" ht="12.75" customHeight="1">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spans="1:26" ht="12.75" customHeight="1">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spans="1:26" ht="12.75" customHeight="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spans="1:26" ht="12.75" customHeight="1">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spans="1:26" ht="12.75" customHeight="1">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spans="1:26" ht="12.75" customHeight="1">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spans="1:26" ht="12.75" customHeight="1">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spans="1:26" ht="12.75" customHeight="1">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spans="1:26" ht="12.75" customHeight="1">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spans="1:26" ht="12.75" customHeight="1">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spans="1:26" ht="12.75" customHeight="1">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spans="1:26" ht="12.75" customHeight="1">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spans="1:26" ht="12.75" customHeight="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spans="1:26" ht="12.75" customHeight="1">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spans="1:26" ht="12.75" customHeight="1">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spans="1:26" ht="12.75" customHeight="1">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spans="1:26" ht="12.75" customHeight="1">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spans="1:26" ht="12.75" customHeight="1">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spans="1:26" ht="12.75" customHeight="1">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spans="1:26" ht="12.75" customHeight="1">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spans="1:26" ht="12.75" customHeight="1">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spans="1:26" ht="12.75" customHeight="1">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spans="1:26" ht="12.75" customHeight="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spans="1:26" ht="12.75" customHeight="1">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spans="1:26" ht="12.75" customHeight="1">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spans="1:26" ht="12.75" customHeight="1">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spans="1:26" ht="12.75" customHeight="1">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spans="1:26" ht="12.75" customHeight="1">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spans="1:26" ht="12.75" customHeight="1">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spans="1:26" ht="12.75" customHeight="1">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spans="1:26" ht="12.75" customHeight="1">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spans="1:26" ht="12.75" customHeight="1">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spans="1:26" ht="12.75" customHeight="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spans="1:26" ht="12.75" customHeight="1">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spans="1:26" ht="12.75" customHeight="1">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spans="1:26" ht="12.75" customHeight="1">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spans="1:26" ht="12.75" customHeight="1">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spans="1:26" ht="12.75" customHeight="1">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spans="1:26" ht="12.75" customHeight="1">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spans="1:26" ht="12.75" customHeight="1">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spans="1:26" ht="12.75" customHeight="1">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spans="1:26" ht="12.75" customHeight="1">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spans="1:26" ht="12.75" customHeight="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spans="1:26" ht="12.75" customHeight="1">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spans="1:26" ht="12.75" customHeight="1">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spans="1:26" ht="12.75" customHeight="1">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spans="1:26" ht="12.75" customHeight="1">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spans="1:26" ht="12.75" customHeight="1">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spans="1:26" ht="12.75" customHeight="1">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spans="1:26" ht="12.75" customHeight="1">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spans="1:26" ht="12.75" customHeight="1">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spans="1:26" ht="12.75" customHeight="1">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spans="1:26" ht="12.75" customHeight="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spans="1:26" ht="12.75" customHeight="1">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spans="1:26" ht="12.75" customHeight="1">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spans="1:26" ht="12.75" customHeight="1">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spans="1:26" ht="12.75" customHeight="1">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spans="1:26" ht="12.75" customHeight="1">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spans="1:26" ht="12.75" customHeight="1">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spans="1:26" ht="12.75" customHeight="1">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spans="1:26" ht="12.75" customHeight="1">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spans="1:26" ht="12.75" customHeight="1">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spans="1:26" ht="12.75" customHeight="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spans="1:26" ht="12.75" customHeight="1">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spans="1:26" ht="12.75" customHeight="1">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spans="1:26" ht="12.75" customHeight="1">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spans="1:26" ht="12.75" customHeight="1">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spans="1:26" ht="12.75" customHeight="1">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spans="1:26" ht="12.75" customHeight="1">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spans="1:26" ht="12.75" customHeight="1">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spans="1:26" ht="12.75" customHeight="1">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spans="1:26" ht="12.75" customHeight="1">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spans="1:26" ht="12.75" customHeight="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spans="1:26" ht="12.75" customHeight="1">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spans="1:26" ht="12.75" customHeight="1">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spans="1:26" ht="12.75" customHeight="1">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spans="1:26" ht="12.75" customHeight="1">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spans="1:26" ht="12.75" customHeight="1">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spans="1:26" ht="12.75" customHeight="1">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spans="1:26" ht="12.75" customHeight="1">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spans="1:26" ht="12.75" customHeight="1">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spans="1:26" ht="12.75" customHeight="1">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spans="1:26" ht="12.75" customHeight="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spans="1:26" ht="12.75" customHeight="1">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spans="1:26" ht="12.75" customHeight="1">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spans="1:26" ht="12.75" customHeight="1">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spans="1:26" ht="12.75" customHeight="1">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spans="1:26" ht="12.75" customHeight="1">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spans="1:26" ht="12.75" customHeight="1">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spans="1:26" ht="12.75" customHeight="1">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spans="1:26" ht="12.75" customHeight="1">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spans="1:26" ht="12.75" customHeight="1">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spans="1:26" ht="12.75" customHeight="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spans="1:26" ht="12.75" customHeight="1">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spans="1:26" ht="12.75" customHeight="1">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spans="1:26" ht="12.75" customHeight="1">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spans="1:26" ht="12.75" customHeight="1">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spans="1:26" ht="12.75" customHeight="1">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spans="1:26" ht="12.75" customHeight="1">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spans="1:26" ht="12.75" customHeight="1">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spans="1:26" ht="12.75" customHeight="1">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spans="1:26" ht="12.75" customHeight="1">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spans="1:26" ht="12.75" customHeight="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spans="1:26" ht="12.75" customHeight="1">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spans="1:26" ht="12.75" customHeight="1">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spans="1:26" ht="12.75" customHeight="1">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spans="1:26" ht="12.75" customHeight="1">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spans="1:26" ht="12.75" customHeight="1">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spans="1:26" ht="12.75" customHeight="1">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spans="1:26" ht="12.75" customHeight="1">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spans="1:26" ht="12.75" customHeight="1">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spans="1:26" ht="12.75" customHeight="1">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spans="1:26" ht="12.75" customHeight="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spans="1:26" ht="12.75" customHeight="1">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spans="1:26" ht="12.75" customHeight="1">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spans="1:26" ht="12.75" customHeight="1">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spans="1:26" ht="12.75" customHeight="1">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spans="1:26" ht="12.75" customHeight="1">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spans="1:26" ht="12.75" customHeight="1">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spans="1:26" ht="12.75" customHeight="1">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spans="1:26" ht="12.75" customHeight="1">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spans="1:26" ht="12.75" customHeight="1">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spans="1:26" ht="12.75" customHeight="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spans="1:26" ht="12.75" customHeight="1">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spans="1:26" ht="12.75" customHeight="1">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spans="1:26" ht="12.75" customHeight="1">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spans="1:26" ht="12.75" customHeight="1">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spans="1:26" ht="12.75" customHeight="1">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spans="1:26" ht="12.75" customHeight="1">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spans="1:26" ht="12.75" customHeight="1">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spans="1:26" ht="12.75" customHeight="1">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spans="1:26" ht="12.75" customHeight="1">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spans="1:26" ht="12.75" customHeight="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spans="1:26" ht="12.75" customHeight="1">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spans="1:26" ht="12.75" customHeight="1">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spans="1:26" ht="12.75" customHeight="1">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spans="1:26" ht="12.75" customHeight="1">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spans="1:26" ht="12.75" customHeight="1">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spans="1:26" ht="12.75" customHeight="1">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spans="1:26" ht="12.75" customHeight="1">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spans="1:26" ht="12.75" customHeight="1">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spans="1:26" ht="12.75" customHeight="1">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spans="1:26" ht="12.75" customHeight="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spans="1:26" ht="12.75" customHeight="1">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spans="1:26" ht="12.75" customHeight="1">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spans="1:26" ht="12.75" customHeight="1">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spans="1:26" ht="12.75" customHeight="1">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spans="1:26" ht="12.75" customHeight="1">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spans="1:26" ht="12.75" customHeight="1">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spans="1:26" ht="12.75" customHeight="1">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spans="1:26" ht="12.75" customHeight="1">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spans="1:26" ht="12.75" customHeight="1">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spans="1:26" ht="12.75" customHeight="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spans="1:26" ht="12.75" customHeight="1">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spans="1:26" ht="12.75" customHeight="1">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spans="1:26" ht="12.75" customHeight="1">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spans="1:26" ht="12.75" customHeight="1">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spans="1:26" ht="12.75" customHeight="1">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spans="1:26" ht="12.75" customHeight="1">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spans="1:26" ht="12.75" customHeight="1">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spans="1:26" ht="12.75" customHeight="1">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spans="1:26" ht="12.75" customHeight="1">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spans="1:26" ht="12.75" customHeight="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spans="1:26" ht="12.75" customHeight="1">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spans="1:26" ht="12.75" customHeight="1">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spans="1:26" ht="12.75" customHeight="1">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spans="1:26" ht="12.75" customHeight="1">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spans="1:26" ht="12.75" customHeight="1">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spans="1:26" ht="12.75" customHeight="1">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spans="1:26" ht="12.75" customHeight="1">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spans="1:26" ht="12.75" customHeight="1">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spans="1:26" ht="12.75" customHeight="1">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spans="1:26" ht="12.75" customHeight="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spans="1:26" ht="12.75" customHeight="1">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spans="1:26" ht="12.75" customHeight="1">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spans="1:26" ht="12.75" customHeight="1">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spans="1:26" ht="12.75" customHeight="1">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spans="1:26" ht="12.75" customHeight="1">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spans="1:26" ht="12.75" customHeight="1">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spans="1:26" ht="12.75" customHeight="1">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spans="1:26" ht="12.75" customHeight="1">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spans="1:26" ht="12.75" customHeight="1">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spans="1:26" ht="12.75" customHeight="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spans="1:26" ht="12.75" customHeight="1">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spans="1:26" ht="12.75" customHeight="1">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spans="1:26" ht="12.75" customHeight="1">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spans="1:26" ht="12.75" customHeight="1">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spans="1:26" ht="12.75" customHeight="1">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spans="1:26" ht="12.75" customHeight="1">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spans="1:26" ht="12.75" customHeight="1">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spans="1:26" ht="12.75" customHeight="1">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spans="1:26" ht="12.75" customHeight="1">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spans="1:26" ht="12.75" customHeight="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spans="1:26" ht="12.75" customHeight="1">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spans="1:26" ht="12.75" customHeight="1">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spans="1:26" ht="12.75" customHeight="1">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spans="1:26" ht="12.75" customHeight="1">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spans="1:26" ht="12.75" customHeight="1">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spans="1:26" ht="12.75" customHeight="1">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spans="1:26" ht="12.75" customHeight="1">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spans="1:26" ht="12.75" customHeight="1">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spans="1:26" ht="12.75" customHeight="1">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spans="1:26" ht="12.75" customHeight="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spans="1:26" ht="12.75" customHeight="1">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spans="1:26" ht="12.75" customHeight="1">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spans="1:26" ht="12.75" customHeight="1">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spans="1:26" ht="12.75" customHeight="1">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spans="1:26" ht="12.75" customHeight="1">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spans="1:26" ht="12.75" customHeight="1">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spans="1:26" ht="12.75" customHeight="1">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spans="1:26" ht="12.75" customHeight="1">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spans="1:26" ht="12.75" customHeight="1">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spans="1:26" ht="12.75" customHeight="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spans="1:26" ht="12.75" customHeight="1">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spans="1:26" ht="12.75" customHeight="1">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spans="1:26" ht="12.75" customHeight="1">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spans="1:26" ht="12.75" customHeight="1">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spans="1:26" ht="12.75" customHeight="1">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spans="1:26" ht="12.75" customHeight="1">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spans="1:26" ht="12.75" customHeight="1">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spans="1:26" ht="12.75" customHeight="1">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spans="1:26" ht="12.75" customHeight="1">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spans="1:26" ht="12.75" customHeight="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spans="1:26" ht="12.75" customHeight="1">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spans="1:26" ht="12.75" customHeight="1">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spans="1:26" ht="12.75" customHeight="1">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spans="1:26" ht="12.75" customHeight="1">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spans="1:26" ht="12.75" customHeight="1">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spans="1:26" ht="12.75" customHeight="1">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spans="1:26" ht="12.75" customHeight="1">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spans="1:26" ht="12.75" customHeight="1">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spans="1:26" ht="12.75" customHeight="1">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spans="1:26" ht="12.75" customHeight="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spans="1:26" ht="12.75" customHeight="1">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spans="1:26" ht="12.75" customHeight="1">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spans="1:26" ht="12.75" customHeight="1">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spans="1:26" ht="12.75" customHeight="1">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spans="1:26" ht="12.75" customHeight="1">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spans="1:26" ht="12.75" customHeight="1">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spans="1:26" ht="12.75" customHeight="1">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spans="1:26" ht="12.75" customHeight="1">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spans="1:26" ht="12.75" customHeight="1">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spans="1:26" ht="12.75" customHeight="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spans="1:26" ht="12.75" customHeight="1">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spans="1:26" ht="12.75" customHeight="1">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spans="1:26" ht="12.75" customHeight="1">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spans="1:26" ht="12.75" customHeight="1">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spans="1:26" ht="12.75" customHeight="1">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spans="1:26" ht="12.75" customHeight="1">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spans="1:26" ht="12.75" customHeight="1">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spans="1:26" ht="12.75" customHeight="1">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spans="1:26" ht="12.75" customHeight="1">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spans="1:26" ht="12.75" customHeight="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spans="1:26" ht="12.75" customHeight="1">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spans="1:26" ht="12.75" customHeight="1">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spans="1:26" ht="12.75" customHeight="1">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spans="1:26" ht="12.75" customHeight="1">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spans="1:26" ht="12.75" customHeight="1">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spans="1:26" ht="12.75" customHeight="1">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spans="1:26" ht="12.75" customHeight="1">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spans="1:26" ht="12.75" customHeight="1">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spans="1:26" ht="12.75" customHeight="1">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spans="1:26" ht="12.75" customHeight="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spans="1:26" ht="12.75" customHeight="1">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spans="1:26" ht="12.75" customHeight="1">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spans="1:26" ht="12.75" customHeight="1">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spans="1:26" ht="12.75" customHeight="1">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spans="1:26" ht="12.75" customHeight="1">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spans="1:26" ht="12.75" customHeight="1">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spans="1:26" ht="12.75" customHeight="1">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spans="1:26" ht="12.75" customHeight="1">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spans="1:26" ht="12.75" customHeight="1">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spans="1:26" ht="12.75" customHeight="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spans="1:26" ht="12.75" customHeight="1">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spans="1:26" ht="12.75" customHeight="1">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spans="1:26" ht="12.75" customHeight="1">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spans="1:26" ht="12.75" customHeight="1">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spans="1:26" ht="12.75" customHeight="1">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spans="1:26" ht="12.75" customHeight="1">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spans="1:26" ht="12.75" customHeight="1">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spans="1:26" ht="12.75" customHeight="1">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spans="1:26" ht="12.75" customHeight="1">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spans="1:26" ht="12.75" customHeight="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spans="1:26" ht="12.75" customHeight="1">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spans="1:26" ht="12.75" customHeight="1">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spans="1:26" ht="12.75" customHeight="1">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spans="1:26" ht="12.75" customHeight="1">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spans="1:26" ht="12.75" customHeight="1">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spans="1:26" ht="12.75" customHeight="1">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spans="1:26" ht="12.75" customHeight="1">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spans="1:26" ht="12.75" customHeight="1">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spans="1:26" ht="12.75" customHeight="1">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spans="1:26" ht="12.75" customHeight="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spans="1:26" ht="12.75" customHeight="1">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spans="1:26" ht="12.75" customHeight="1">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spans="1:26" ht="12.75" customHeight="1">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spans="1:26" ht="12.75" customHeight="1">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spans="1:26" ht="12.75" customHeight="1">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spans="1:26" ht="12.75" customHeight="1">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spans="1:26" ht="12.75" customHeight="1">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spans="1:26" ht="12.75" customHeight="1">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spans="1:26" ht="12.75" customHeight="1">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spans="1:26" ht="12.75" customHeight="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spans="1:26" ht="12.75" customHeight="1">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spans="1:26" ht="12.75" customHeight="1">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spans="1:26" ht="12.75" customHeight="1">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spans="1:26" ht="12.75" customHeight="1">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spans="1:26" ht="12.75" customHeight="1">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spans="1:26" ht="12.75" customHeight="1">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spans="1:26" ht="12.75" customHeight="1">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spans="1:26" ht="12.75" customHeight="1">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spans="1:26" ht="12.75" customHeight="1">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spans="1:26" ht="12.75" customHeight="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spans="1:26" ht="12.75" customHeight="1">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spans="1:26" ht="12.75" customHeight="1">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spans="1:26" ht="12.75" customHeight="1">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spans="1:26" ht="12.75" customHeight="1">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spans="1:26" ht="12.75" customHeight="1">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spans="1:26" ht="12.75" customHeight="1">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spans="1:26" ht="12.75" customHeight="1">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spans="1:26" ht="12.75" customHeight="1">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spans="1:26" ht="12.75" customHeight="1">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spans="1:26" ht="12.75" customHeight="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spans="1:26" ht="12.75" customHeight="1">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spans="1:26" ht="12.75" customHeight="1">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spans="1:26" ht="12.75" customHeight="1">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spans="1:26" ht="12.75" customHeight="1">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spans="1:26" ht="12.75" customHeight="1">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spans="1:26" ht="12.75" customHeight="1">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spans="1:26" ht="12.75" customHeight="1">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spans="1:26" ht="12.75" customHeight="1">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spans="1:26" ht="12.75" customHeight="1">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spans="1:26" ht="12.75" customHeight="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spans="1:26" ht="12.75" customHeight="1">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spans="1:26" ht="12.75" customHeight="1">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spans="1:26" ht="12.75" customHeight="1">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spans="1:26" ht="12.75" customHeight="1">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spans="1:26" ht="12.75" customHeight="1">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spans="1:26" ht="12.75" customHeight="1">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spans="1:26" ht="12.75" customHeight="1">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spans="1:26" ht="12.75" customHeight="1">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spans="1:26" ht="12.75" customHeight="1">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spans="1:26" ht="12.75" customHeight="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spans="1:26" ht="12.75" customHeight="1">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spans="1:26" ht="12.75" customHeight="1">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spans="1:26" ht="12.75" customHeight="1">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spans="1:26" ht="12.75" customHeight="1">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spans="1:26" ht="12.75" customHeight="1">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spans="1:26" ht="12.75" customHeight="1">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spans="1:26" ht="12.75" customHeight="1">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spans="1:26" ht="12.75" customHeight="1">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spans="1:26" ht="12.75" customHeight="1">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spans="1:26" ht="12.75" customHeight="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spans="1:26" ht="12.75" customHeight="1">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spans="1:26" ht="12.75" customHeight="1">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spans="1:26" ht="12.75" customHeight="1">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spans="1:26" ht="12.75" customHeight="1">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spans="1:26" ht="12.75" customHeight="1">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spans="1:26" ht="12.75" customHeight="1">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spans="1:26" ht="12.75" customHeight="1">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spans="1:26" ht="12.75" customHeight="1">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spans="1:26" ht="12.75" customHeight="1">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spans="1:26" ht="12.75" customHeight="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spans="1:26" ht="12.75" customHeight="1">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spans="1:26" ht="12.75" customHeight="1">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spans="1:26" ht="12.75" customHeight="1">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spans="1:26" ht="12.75" customHeight="1">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spans="1:26" ht="12.75" customHeight="1">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spans="1:26" ht="12.75" customHeight="1">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spans="1:26" ht="12.75" customHeight="1">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spans="1:26" ht="12.75" customHeight="1">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spans="1:26" ht="12.75" customHeight="1">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mergeCells count="9">
    <mergeCell ref="A91:G91"/>
    <mergeCell ref="A94:G94"/>
    <mergeCell ref="A1:G1"/>
    <mergeCell ref="A3:G3"/>
    <mergeCell ref="A60:G60"/>
    <mergeCell ref="A68:G68"/>
    <mergeCell ref="A77:G77"/>
    <mergeCell ref="A83:G83"/>
    <mergeCell ref="A87:G87"/>
  </mergeCells>
  <pageMargins left="0.75" right="0.75" top="1" bottom="1"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4" topLeftCell="A5" activePane="bottomLeft" state="frozen"/>
      <selection pane="bottomLeft" activeCell="B6" sqref="B6"/>
    </sheetView>
  </sheetViews>
  <sheetFormatPr defaultColWidth="14.42578125" defaultRowHeight="15" customHeight="1"/>
  <cols>
    <col min="1" max="1" width="7" customWidth="1"/>
    <col min="2" max="2" width="14" customWidth="1"/>
    <col min="3" max="3" width="38" customWidth="1"/>
    <col min="4" max="4" width="55" customWidth="1"/>
    <col min="5" max="5" width="11.5703125" customWidth="1"/>
    <col min="6" max="6" width="19.28515625" customWidth="1"/>
    <col min="7" max="7" width="21" customWidth="1"/>
    <col min="8" max="8" width="17" customWidth="1"/>
    <col min="9" max="9" width="12" customWidth="1"/>
    <col min="10" max="10" width="10" customWidth="1"/>
    <col min="11" max="26" width="8.7109375" customWidth="1"/>
  </cols>
  <sheetData>
    <row r="1" spans="1:26" ht="27.75" customHeight="1">
      <c r="A1" s="361" t="s">
        <v>1145</v>
      </c>
      <c r="B1" s="353"/>
      <c r="C1" s="353"/>
      <c r="D1" s="353"/>
      <c r="E1" s="353"/>
      <c r="F1" s="353"/>
      <c r="G1" s="353"/>
      <c r="H1" s="353"/>
      <c r="I1" s="353"/>
      <c r="J1" s="354"/>
      <c r="K1" s="3"/>
      <c r="L1" s="3" t="s">
        <v>1353</v>
      </c>
      <c r="M1" s="3"/>
      <c r="N1" s="3"/>
      <c r="O1" s="3"/>
      <c r="P1" s="3"/>
      <c r="Q1" s="3"/>
      <c r="R1" s="3"/>
      <c r="S1" s="3"/>
      <c r="T1" s="3"/>
      <c r="U1" s="3"/>
      <c r="V1" s="3"/>
      <c r="W1" s="3"/>
      <c r="X1" s="3"/>
      <c r="Y1" s="3"/>
      <c r="Z1" s="3"/>
    </row>
    <row r="2" spans="1:26" ht="18" customHeight="1">
      <c r="A2" s="362" t="s">
        <v>1146</v>
      </c>
      <c r="B2" s="353"/>
      <c r="C2" s="353"/>
      <c r="D2" s="353"/>
      <c r="E2" s="353"/>
      <c r="F2" s="353"/>
      <c r="G2" s="353"/>
      <c r="H2" s="353"/>
      <c r="I2" s="353"/>
      <c r="J2" s="354"/>
      <c r="K2" s="3"/>
      <c r="L2" s="3"/>
      <c r="M2" s="3"/>
      <c r="N2" s="3"/>
      <c r="O2" s="3"/>
      <c r="P2" s="3"/>
      <c r="Q2" s="3"/>
      <c r="R2" s="3"/>
      <c r="S2" s="3"/>
      <c r="T2" s="3"/>
      <c r="U2" s="3"/>
      <c r="V2" s="3"/>
      <c r="W2" s="3"/>
      <c r="X2" s="3"/>
      <c r="Y2" s="3"/>
      <c r="Z2" s="3"/>
    </row>
    <row r="3" spans="1:26" ht="132">
      <c r="A3" s="363" t="s">
        <v>1147</v>
      </c>
      <c r="B3" s="353"/>
      <c r="C3" s="353"/>
      <c r="D3" s="354"/>
      <c r="E3" s="102" t="s">
        <v>1148</v>
      </c>
      <c r="F3" s="102" t="s">
        <v>1149</v>
      </c>
      <c r="G3" s="102" t="s">
        <v>1150</v>
      </c>
      <c r="H3" s="102" t="s">
        <v>1151</v>
      </c>
      <c r="I3" s="102" t="s">
        <v>1152</v>
      </c>
      <c r="J3" s="103" t="s">
        <v>1153</v>
      </c>
      <c r="K3" s="3"/>
      <c r="L3" s="3"/>
      <c r="M3" s="3"/>
      <c r="N3" s="3"/>
      <c r="O3" s="3"/>
      <c r="P3" s="3"/>
      <c r="Q3" s="3"/>
      <c r="R3" s="3"/>
      <c r="S3" s="3"/>
      <c r="T3" s="3"/>
      <c r="U3" s="3"/>
      <c r="V3" s="3"/>
      <c r="W3" s="3"/>
      <c r="X3" s="3"/>
      <c r="Y3" s="3"/>
      <c r="Z3" s="3"/>
    </row>
    <row r="4" spans="1:26" ht="42" customHeight="1">
      <c r="A4" s="104" t="s">
        <v>0</v>
      </c>
      <c r="B4" s="104" t="s">
        <v>1</v>
      </c>
      <c r="C4" s="104" t="s">
        <v>8</v>
      </c>
      <c r="D4" s="104" t="s">
        <v>4</v>
      </c>
      <c r="E4" s="104" t="s">
        <v>1154</v>
      </c>
      <c r="F4" s="104" t="s">
        <v>1155</v>
      </c>
      <c r="G4" s="104" t="s">
        <v>1156</v>
      </c>
      <c r="H4" s="104" t="s">
        <v>1157</v>
      </c>
      <c r="I4" s="104" t="s">
        <v>1158</v>
      </c>
      <c r="J4" s="104" t="s">
        <v>1159</v>
      </c>
      <c r="K4" s="3"/>
      <c r="L4" s="3"/>
      <c r="M4" s="3"/>
      <c r="N4" s="3"/>
      <c r="O4" s="3"/>
      <c r="P4" s="3"/>
      <c r="Q4" s="3"/>
      <c r="R4" s="3"/>
      <c r="S4" s="3"/>
      <c r="T4" s="3"/>
      <c r="U4" s="3"/>
      <c r="V4" s="3"/>
      <c r="W4" s="3"/>
      <c r="X4" s="3"/>
      <c r="Y4" s="3"/>
      <c r="Z4" s="3"/>
    </row>
    <row r="5" spans="1:26" ht="24">
      <c r="A5" s="105">
        <v>1</v>
      </c>
      <c r="B5" s="105" t="s">
        <v>18</v>
      </c>
      <c r="C5" s="105" t="s">
        <v>23</v>
      </c>
      <c r="D5" s="105" t="s">
        <v>20</v>
      </c>
      <c r="E5" s="106">
        <v>1</v>
      </c>
      <c r="F5" s="106">
        <v>1</v>
      </c>
      <c r="G5" s="106">
        <v>1</v>
      </c>
      <c r="H5" s="107">
        <v>0</v>
      </c>
      <c r="I5" s="106">
        <v>1</v>
      </c>
      <c r="J5" s="107">
        <v>4</v>
      </c>
      <c r="K5" s="3"/>
      <c r="L5" s="3"/>
      <c r="M5" s="3"/>
      <c r="N5" s="3"/>
      <c r="O5" s="3"/>
      <c r="P5" s="3"/>
      <c r="Q5" s="3"/>
      <c r="R5" s="3"/>
      <c r="S5" s="3"/>
      <c r="T5" s="3"/>
      <c r="U5" s="3"/>
      <c r="V5" s="3"/>
      <c r="W5" s="3"/>
      <c r="X5" s="3"/>
      <c r="Y5" s="3"/>
      <c r="Z5" s="3"/>
    </row>
    <row r="6" spans="1:26" ht="24">
      <c r="A6" s="108">
        <v>2</v>
      </c>
      <c r="B6" s="108" t="s">
        <v>18</v>
      </c>
      <c r="C6" s="108" t="s">
        <v>36</v>
      </c>
      <c r="D6" s="108" t="s">
        <v>33</v>
      </c>
      <c r="E6" s="106">
        <v>1</v>
      </c>
      <c r="F6" s="107">
        <v>0</v>
      </c>
      <c r="G6" s="106">
        <v>1</v>
      </c>
      <c r="H6" s="107">
        <v>0</v>
      </c>
      <c r="I6" s="106">
        <v>1</v>
      </c>
      <c r="J6" s="107">
        <v>3</v>
      </c>
      <c r="K6" s="3"/>
      <c r="L6" s="3"/>
      <c r="M6" s="3"/>
      <c r="N6" s="3"/>
      <c r="O6" s="3"/>
      <c r="P6" s="3"/>
      <c r="Q6" s="3"/>
      <c r="R6" s="3"/>
      <c r="S6" s="3"/>
      <c r="T6" s="3"/>
      <c r="U6" s="3"/>
      <c r="V6" s="3"/>
      <c r="W6" s="3"/>
      <c r="X6" s="3"/>
      <c r="Y6" s="3"/>
      <c r="Z6" s="3"/>
    </row>
    <row r="7" spans="1:26" ht="36">
      <c r="A7" s="105">
        <v>3</v>
      </c>
      <c r="B7" s="105" t="s">
        <v>18</v>
      </c>
      <c r="C7" s="105" t="s">
        <v>44</v>
      </c>
      <c r="D7" s="105" t="s">
        <v>42</v>
      </c>
      <c r="E7" s="106">
        <v>1</v>
      </c>
      <c r="F7" s="106">
        <v>1</v>
      </c>
      <c r="G7" s="106">
        <v>1</v>
      </c>
      <c r="H7" s="109">
        <v>2</v>
      </c>
      <c r="I7" s="106">
        <v>1</v>
      </c>
      <c r="J7" s="106">
        <v>6</v>
      </c>
      <c r="K7" s="3"/>
      <c r="L7" s="3"/>
      <c r="M7" s="3"/>
      <c r="N7" s="3"/>
      <c r="O7" s="3"/>
      <c r="P7" s="3"/>
      <c r="Q7" s="3"/>
      <c r="R7" s="3"/>
      <c r="S7" s="3"/>
      <c r="T7" s="3"/>
      <c r="U7" s="3"/>
      <c r="V7" s="3"/>
      <c r="W7" s="3"/>
      <c r="X7" s="3"/>
      <c r="Y7" s="3"/>
      <c r="Z7" s="3"/>
    </row>
    <row r="8" spans="1:26" ht="24">
      <c r="A8" s="108">
        <v>4</v>
      </c>
      <c r="B8" s="108" t="s">
        <v>18</v>
      </c>
      <c r="C8" s="108" t="s">
        <v>53</v>
      </c>
      <c r="D8" s="108" t="s">
        <v>51</v>
      </c>
      <c r="E8" s="109">
        <v>2</v>
      </c>
      <c r="F8" s="106">
        <v>1</v>
      </c>
      <c r="G8" s="106">
        <v>1</v>
      </c>
      <c r="H8" s="107">
        <v>0</v>
      </c>
      <c r="I8" s="106">
        <v>1</v>
      </c>
      <c r="J8" s="106">
        <v>5</v>
      </c>
      <c r="K8" s="3"/>
      <c r="L8" s="3"/>
      <c r="M8" s="3"/>
      <c r="N8" s="3"/>
      <c r="O8" s="3"/>
      <c r="P8" s="3"/>
      <c r="Q8" s="3"/>
      <c r="R8" s="3"/>
      <c r="S8" s="3"/>
      <c r="T8" s="3"/>
      <c r="U8" s="3"/>
      <c r="V8" s="3"/>
      <c r="W8" s="3"/>
      <c r="X8" s="3"/>
      <c r="Y8" s="3"/>
      <c r="Z8" s="3"/>
    </row>
    <row r="9" spans="1:26" ht="36">
      <c r="A9" s="105">
        <v>5</v>
      </c>
      <c r="B9" s="105" t="s">
        <v>18</v>
      </c>
      <c r="C9" s="105" t="s">
        <v>61</v>
      </c>
      <c r="D9" s="105" t="s">
        <v>59</v>
      </c>
      <c r="E9" s="106">
        <v>1</v>
      </c>
      <c r="F9" s="106">
        <v>1</v>
      </c>
      <c r="G9" s="106">
        <v>1</v>
      </c>
      <c r="H9" s="109">
        <v>2</v>
      </c>
      <c r="I9" s="106">
        <v>1</v>
      </c>
      <c r="J9" s="106">
        <v>6</v>
      </c>
      <c r="K9" s="3"/>
      <c r="L9" s="3"/>
      <c r="M9" s="3"/>
      <c r="N9" s="3"/>
      <c r="O9" s="3"/>
      <c r="P9" s="3"/>
      <c r="Q9" s="3"/>
      <c r="R9" s="3"/>
      <c r="S9" s="3"/>
      <c r="T9" s="3"/>
      <c r="U9" s="3"/>
      <c r="V9" s="3"/>
      <c r="W9" s="3"/>
      <c r="X9" s="3"/>
      <c r="Y9" s="3"/>
      <c r="Z9" s="3"/>
    </row>
    <row r="10" spans="1:26" ht="15.75" customHeight="1">
      <c r="A10" s="108">
        <v>6</v>
      </c>
      <c r="B10" s="108" t="s">
        <v>18</v>
      </c>
      <c r="C10" s="108" t="s">
        <v>70</v>
      </c>
      <c r="D10" s="108" t="s">
        <v>68</v>
      </c>
      <c r="E10" s="106">
        <v>1</v>
      </c>
      <c r="F10" s="106">
        <v>1</v>
      </c>
      <c r="G10" s="106">
        <v>1</v>
      </c>
      <c r="H10" s="109">
        <v>2</v>
      </c>
      <c r="I10" s="106">
        <v>1</v>
      </c>
      <c r="J10" s="106">
        <v>6</v>
      </c>
      <c r="K10" s="3"/>
      <c r="L10" s="3"/>
      <c r="M10" s="3"/>
      <c r="N10" s="3"/>
      <c r="O10" s="3"/>
      <c r="P10" s="3"/>
      <c r="Q10" s="3"/>
      <c r="R10" s="3"/>
      <c r="S10" s="3"/>
      <c r="T10" s="3"/>
      <c r="U10" s="3"/>
      <c r="V10" s="3"/>
      <c r="W10" s="3"/>
      <c r="X10" s="3"/>
      <c r="Y10" s="3"/>
      <c r="Z10" s="3"/>
    </row>
    <row r="11" spans="1:26" ht="15.75" customHeight="1">
      <c r="A11" s="105">
        <v>7</v>
      </c>
      <c r="B11" s="105" t="s">
        <v>18</v>
      </c>
      <c r="C11" s="105" t="s">
        <v>81</v>
      </c>
      <c r="D11" s="105" t="s">
        <v>78</v>
      </c>
      <c r="E11" s="109">
        <v>2</v>
      </c>
      <c r="F11" s="109">
        <v>2</v>
      </c>
      <c r="G11" s="106">
        <v>1</v>
      </c>
      <c r="H11" s="107">
        <v>0</v>
      </c>
      <c r="I11" s="106">
        <v>1</v>
      </c>
      <c r="J11" s="106">
        <v>6</v>
      </c>
      <c r="K11" s="3"/>
      <c r="L11" s="3"/>
      <c r="M11" s="3"/>
      <c r="N11" s="3"/>
      <c r="O11" s="3"/>
      <c r="P11" s="3"/>
      <c r="Q11" s="3"/>
      <c r="R11" s="3"/>
      <c r="S11" s="3"/>
      <c r="T11" s="3"/>
      <c r="U11" s="3"/>
      <c r="V11" s="3"/>
      <c r="W11" s="3"/>
      <c r="X11" s="3"/>
      <c r="Y11" s="3"/>
      <c r="Z11" s="3"/>
    </row>
    <row r="12" spans="1:26" ht="15.75" customHeight="1">
      <c r="A12" s="108">
        <v>8</v>
      </c>
      <c r="B12" s="108" t="s">
        <v>18</v>
      </c>
      <c r="C12" s="108" t="s">
        <v>92</v>
      </c>
      <c r="D12" s="108" t="s">
        <v>89</v>
      </c>
      <c r="E12" s="109">
        <v>2</v>
      </c>
      <c r="F12" s="106">
        <v>1</v>
      </c>
      <c r="G12" s="106">
        <v>1</v>
      </c>
      <c r="H12" s="107">
        <v>0</v>
      </c>
      <c r="I12" s="106">
        <v>1</v>
      </c>
      <c r="J12" s="106">
        <v>5</v>
      </c>
      <c r="K12" s="3"/>
      <c r="L12" s="3"/>
      <c r="M12" s="3"/>
      <c r="N12" s="3"/>
      <c r="O12" s="3"/>
      <c r="P12" s="3"/>
      <c r="Q12" s="3"/>
      <c r="R12" s="3"/>
      <c r="S12" s="3"/>
      <c r="T12" s="3"/>
      <c r="U12" s="3"/>
      <c r="V12" s="3"/>
      <c r="W12" s="3"/>
      <c r="X12" s="3"/>
      <c r="Y12" s="3"/>
      <c r="Z12" s="3"/>
    </row>
    <row r="13" spans="1:26" ht="15.75" customHeight="1">
      <c r="A13" s="105">
        <v>9</v>
      </c>
      <c r="B13" s="105" t="s">
        <v>18</v>
      </c>
      <c r="C13" s="105" t="s">
        <v>101</v>
      </c>
      <c r="D13" s="105" t="s">
        <v>98</v>
      </c>
      <c r="E13" s="109">
        <v>2</v>
      </c>
      <c r="F13" s="106">
        <v>1</v>
      </c>
      <c r="G13" s="106">
        <v>1</v>
      </c>
      <c r="H13" s="109">
        <v>2</v>
      </c>
      <c r="I13" s="106">
        <v>1</v>
      </c>
      <c r="J13" s="110">
        <v>7</v>
      </c>
      <c r="K13" s="3"/>
      <c r="L13" s="3"/>
      <c r="M13" s="3"/>
      <c r="N13" s="3"/>
      <c r="O13" s="3"/>
      <c r="P13" s="3"/>
      <c r="Q13" s="3"/>
      <c r="R13" s="3"/>
      <c r="S13" s="3"/>
      <c r="T13" s="3"/>
      <c r="U13" s="3"/>
      <c r="V13" s="3"/>
      <c r="W13" s="3"/>
      <c r="X13" s="3"/>
      <c r="Y13" s="3"/>
      <c r="Z13" s="3"/>
    </row>
    <row r="14" spans="1:26" ht="15.75" customHeight="1">
      <c r="A14" s="108">
        <v>10</v>
      </c>
      <c r="B14" s="108" t="s">
        <v>18</v>
      </c>
      <c r="C14" s="108" t="s">
        <v>111</v>
      </c>
      <c r="D14" s="108" t="s">
        <v>108</v>
      </c>
      <c r="E14" s="106">
        <v>1</v>
      </c>
      <c r="F14" s="106">
        <v>1</v>
      </c>
      <c r="G14" s="106">
        <v>1</v>
      </c>
      <c r="H14" s="109">
        <v>2</v>
      </c>
      <c r="I14" s="106">
        <v>1</v>
      </c>
      <c r="J14" s="106">
        <v>6</v>
      </c>
      <c r="K14" s="3"/>
      <c r="L14" s="3"/>
      <c r="M14" s="3"/>
      <c r="N14" s="3"/>
      <c r="O14" s="3"/>
      <c r="P14" s="3"/>
      <c r="Q14" s="3"/>
      <c r="R14" s="3"/>
      <c r="S14" s="3"/>
      <c r="T14" s="3"/>
      <c r="U14" s="3"/>
      <c r="V14" s="3"/>
      <c r="W14" s="3"/>
      <c r="X14" s="3"/>
      <c r="Y14" s="3"/>
      <c r="Z14" s="3"/>
    </row>
    <row r="15" spans="1:26" ht="15.75" customHeight="1">
      <c r="A15" s="105">
        <v>11</v>
      </c>
      <c r="B15" s="105" t="s">
        <v>18</v>
      </c>
      <c r="C15" s="105" t="s">
        <v>122</v>
      </c>
      <c r="D15" s="105" t="s">
        <v>119</v>
      </c>
      <c r="E15" s="109">
        <v>2</v>
      </c>
      <c r="F15" s="106">
        <v>1</v>
      </c>
      <c r="G15" s="106">
        <v>1</v>
      </c>
      <c r="H15" s="109">
        <v>2</v>
      </c>
      <c r="I15" s="106">
        <v>1</v>
      </c>
      <c r="J15" s="110">
        <v>7</v>
      </c>
      <c r="K15" s="3"/>
      <c r="L15" s="3"/>
      <c r="M15" s="3"/>
      <c r="N15" s="3"/>
      <c r="O15" s="3"/>
      <c r="P15" s="3"/>
      <c r="Q15" s="3"/>
      <c r="R15" s="3"/>
      <c r="S15" s="3"/>
      <c r="T15" s="3"/>
      <c r="U15" s="3"/>
      <c r="V15" s="3"/>
      <c r="W15" s="3"/>
      <c r="X15" s="3"/>
      <c r="Y15" s="3"/>
      <c r="Z15" s="3"/>
    </row>
    <row r="16" spans="1:26" ht="15.75" customHeight="1">
      <c r="A16" s="108">
        <v>12</v>
      </c>
      <c r="B16" s="108" t="s">
        <v>18</v>
      </c>
      <c r="C16" s="108" t="s">
        <v>133</v>
      </c>
      <c r="D16" s="108" t="s">
        <v>130</v>
      </c>
      <c r="E16" s="109">
        <v>2</v>
      </c>
      <c r="F16" s="109">
        <v>2</v>
      </c>
      <c r="G16" s="109">
        <v>2</v>
      </c>
      <c r="H16" s="107">
        <v>0</v>
      </c>
      <c r="I16" s="109">
        <v>2</v>
      </c>
      <c r="J16" s="110">
        <v>8</v>
      </c>
      <c r="K16" s="3"/>
      <c r="L16" s="3"/>
      <c r="M16" s="3"/>
      <c r="N16" s="3"/>
      <c r="O16" s="3"/>
      <c r="P16" s="3"/>
      <c r="Q16" s="3"/>
      <c r="R16" s="3"/>
      <c r="S16" s="3"/>
      <c r="T16" s="3"/>
      <c r="U16" s="3"/>
      <c r="V16" s="3"/>
      <c r="W16" s="3"/>
      <c r="X16" s="3"/>
      <c r="Y16" s="3"/>
      <c r="Z16" s="3"/>
    </row>
    <row r="17" spans="1:26" ht="15.75" customHeight="1">
      <c r="A17" s="105">
        <v>13</v>
      </c>
      <c r="B17" s="105" t="s">
        <v>18</v>
      </c>
      <c r="C17" s="105" t="s">
        <v>144</v>
      </c>
      <c r="D17" s="105" t="s">
        <v>142</v>
      </c>
      <c r="E17" s="106">
        <v>1</v>
      </c>
      <c r="F17" s="106">
        <v>1</v>
      </c>
      <c r="G17" s="109">
        <v>2</v>
      </c>
      <c r="H17" s="107">
        <v>0</v>
      </c>
      <c r="I17" s="106">
        <v>1</v>
      </c>
      <c r="J17" s="106">
        <v>5</v>
      </c>
      <c r="K17" s="3"/>
      <c r="L17" s="3"/>
      <c r="M17" s="3"/>
      <c r="N17" s="3"/>
      <c r="O17" s="3"/>
      <c r="P17" s="3"/>
      <c r="Q17" s="3"/>
      <c r="R17" s="3"/>
      <c r="S17" s="3"/>
      <c r="T17" s="3"/>
      <c r="U17" s="3"/>
      <c r="V17" s="3"/>
      <c r="W17" s="3"/>
      <c r="X17" s="3"/>
      <c r="Y17" s="3"/>
      <c r="Z17" s="3"/>
    </row>
    <row r="18" spans="1:26" ht="15.75" customHeight="1">
      <c r="A18" s="108">
        <v>14</v>
      </c>
      <c r="B18" s="108" t="s">
        <v>18</v>
      </c>
      <c r="C18" s="108" t="s">
        <v>154</v>
      </c>
      <c r="D18" s="108" t="s">
        <v>152</v>
      </c>
      <c r="E18" s="109">
        <v>2</v>
      </c>
      <c r="F18" s="109">
        <v>2</v>
      </c>
      <c r="G18" s="109">
        <v>2</v>
      </c>
      <c r="H18" s="109">
        <v>2</v>
      </c>
      <c r="I18" s="109">
        <v>2</v>
      </c>
      <c r="J18" s="109">
        <v>10</v>
      </c>
      <c r="K18" s="3"/>
      <c r="L18" s="3"/>
      <c r="M18" s="3"/>
      <c r="N18" s="3"/>
      <c r="O18" s="3"/>
      <c r="P18" s="3"/>
      <c r="Q18" s="3"/>
      <c r="R18" s="3"/>
      <c r="S18" s="3"/>
      <c r="T18" s="3"/>
      <c r="U18" s="3"/>
      <c r="V18" s="3"/>
      <c r="W18" s="3"/>
      <c r="X18" s="3"/>
      <c r="Y18" s="3"/>
      <c r="Z18" s="3"/>
    </row>
    <row r="19" spans="1:26" ht="15.75" customHeight="1">
      <c r="A19" s="105">
        <v>15</v>
      </c>
      <c r="B19" s="105" t="s">
        <v>18</v>
      </c>
      <c r="C19" s="105" t="s">
        <v>166</v>
      </c>
      <c r="D19" s="105" t="s">
        <v>164</v>
      </c>
      <c r="E19" s="109">
        <v>2</v>
      </c>
      <c r="F19" s="109">
        <v>2</v>
      </c>
      <c r="G19" s="109">
        <v>2</v>
      </c>
      <c r="H19" s="107">
        <v>0</v>
      </c>
      <c r="I19" s="109">
        <v>2</v>
      </c>
      <c r="J19" s="110">
        <v>8</v>
      </c>
      <c r="K19" s="3"/>
      <c r="L19" s="3"/>
      <c r="M19" s="3"/>
      <c r="N19" s="3"/>
      <c r="O19" s="3"/>
      <c r="P19" s="3"/>
      <c r="Q19" s="3"/>
      <c r="R19" s="3"/>
      <c r="S19" s="3"/>
      <c r="T19" s="3"/>
      <c r="U19" s="3"/>
      <c r="V19" s="3"/>
      <c r="W19" s="3"/>
      <c r="X19" s="3"/>
      <c r="Y19" s="3"/>
      <c r="Z19" s="3"/>
    </row>
    <row r="20" spans="1:26" ht="15.75" customHeight="1">
      <c r="A20" s="108">
        <v>16</v>
      </c>
      <c r="B20" s="108" t="s">
        <v>18</v>
      </c>
      <c r="C20" s="108" t="s">
        <v>176</v>
      </c>
      <c r="D20" s="108" t="s">
        <v>174</v>
      </c>
      <c r="E20" s="106">
        <v>1</v>
      </c>
      <c r="F20" s="106">
        <v>1</v>
      </c>
      <c r="G20" s="109">
        <v>2</v>
      </c>
      <c r="H20" s="109">
        <v>2</v>
      </c>
      <c r="I20" s="106">
        <v>1</v>
      </c>
      <c r="J20" s="110">
        <v>7</v>
      </c>
      <c r="K20" s="3"/>
      <c r="L20" s="3"/>
      <c r="M20" s="3"/>
      <c r="N20" s="3"/>
      <c r="O20" s="3"/>
      <c r="P20" s="3"/>
      <c r="Q20" s="3"/>
      <c r="R20" s="3"/>
      <c r="S20" s="3"/>
      <c r="T20" s="3"/>
      <c r="U20" s="3"/>
      <c r="V20" s="3"/>
      <c r="W20" s="3"/>
      <c r="X20" s="3"/>
      <c r="Y20" s="3"/>
      <c r="Z20" s="3"/>
    </row>
    <row r="21" spans="1:26" ht="15.75" customHeight="1">
      <c r="A21" s="105">
        <v>17</v>
      </c>
      <c r="B21" s="105" t="s">
        <v>18</v>
      </c>
      <c r="C21" s="105" t="s">
        <v>187</v>
      </c>
      <c r="D21" s="105" t="s">
        <v>185</v>
      </c>
      <c r="E21" s="106">
        <v>1</v>
      </c>
      <c r="F21" s="106">
        <v>1</v>
      </c>
      <c r="G21" s="109">
        <v>2</v>
      </c>
      <c r="H21" s="109">
        <v>2</v>
      </c>
      <c r="I21" s="109">
        <v>2</v>
      </c>
      <c r="J21" s="110">
        <v>8</v>
      </c>
      <c r="K21" s="3"/>
      <c r="L21" s="3"/>
      <c r="M21" s="3"/>
      <c r="N21" s="3"/>
      <c r="O21" s="3"/>
      <c r="P21" s="3"/>
      <c r="Q21" s="3"/>
      <c r="R21" s="3"/>
      <c r="S21" s="3"/>
      <c r="T21" s="3"/>
      <c r="U21" s="3"/>
      <c r="V21" s="3"/>
      <c r="W21" s="3"/>
      <c r="X21" s="3"/>
      <c r="Y21" s="3"/>
      <c r="Z21" s="3"/>
    </row>
    <row r="22" spans="1:26" ht="15.75" customHeight="1">
      <c r="A22" s="108">
        <v>18</v>
      </c>
      <c r="B22" s="108" t="s">
        <v>18</v>
      </c>
      <c r="C22" s="108" t="s">
        <v>198</v>
      </c>
      <c r="D22" s="108" t="s">
        <v>196</v>
      </c>
      <c r="E22" s="109">
        <v>2</v>
      </c>
      <c r="F22" s="109">
        <v>2</v>
      </c>
      <c r="G22" s="109">
        <v>2</v>
      </c>
      <c r="H22" s="107">
        <v>0</v>
      </c>
      <c r="I22" s="109">
        <v>2</v>
      </c>
      <c r="J22" s="110">
        <v>8</v>
      </c>
      <c r="K22" s="3"/>
      <c r="L22" s="3"/>
      <c r="M22" s="3"/>
      <c r="N22" s="3"/>
      <c r="O22" s="3"/>
      <c r="P22" s="3"/>
      <c r="Q22" s="3"/>
      <c r="R22" s="3"/>
      <c r="S22" s="3"/>
      <c r="T22" s="3"/>
      <c r="U22" s="3"/>
      <c r="V22" s="3"/>
      <c r="W22" s="3"/>
      <c r="X22" s="3"/>
      <c r="Y22" s="3"/>
      <c r="Z22" s="3"/>
    </row>
    <row r="23" spans="1:26" ht="15.75" customHeight="1">
      <c r="A23" s="105">
        <v>19</v>
      </c>
      <c r="B23" s="105" t="s">
        <v>18</v>
      </c>
      <c r="C23" s="105" t="s">
        <v>208</v>
      </c>
      <c r="D23" s="105" t="s">
        <v>206</v>
      </c>
      <c r="E23" s="109">
        <v>2</v>
      </c>
      <c r="F23" s="109">
        <v>2</v>
      </c>
      <c r="G23" s="109">
        <v>2</v>
      </c>
      <c r="H23" s="109">
        <v>2</v>
      </c>
      <c r="I23" s="109">
        <v>2</v>
      </c>
      <c r="J23" s="109">
        <v>10</v>
      </c>
      <c r="K23" s="3"/>
      <c r="L23" s="3"/>
      <c r="M23" s="3"/>
      <c r="N23" s="3"/>
      <c r="O23" s="3"/>
      <c r="P23" s="3"/>
      <c r="Q23" s="3"/>
      <c r="R23" s="3"/>
      <c r="S23" s="3"/>
      <c r="T23" s="3"/>
      <c r="U23" s="3"/>
      <c r="V23" s="3"/>
      <c r="W23" s="3"/>
      <c r="X23" s="3"/>
      <c r="Y23" s="3"/>
      <c r="Z23" s="3"/>
    </row>
    <row r="24" spans="1:26" ht="15.75" customHeight="1">
      <c r="A24" s="108">
        <v>20</v>
      </c>
      <c r="B24" s="108" t="s">
        <v>18</v>
      </c>
      <c r="C24" s="108" t="s">
        <v>218</v>
      </c>
      <c r="D24" s="108" t="s">
        <v>216</v>
      </c>
      <c r="E24" s="106">
        <v>1</v>
      </c>
      <c r="F24" s="106">
        <v>1</v>
      </c>
      <c r="G24" s="109">
        <v>2</v>
      </c>
      <c r="H24" s="109">
        <v>2</v>
      </c>
      <c r="I24" s="109">
        <v>2</v>
      </c>
      <c r="J24" s="110">
        <v>8</v>
      </c>
      <c r="K24" s="3"/>
      <c r="L24" s="3"/>
      <c r="M24" s="3"/>
      <c r="N24" s="3"/>
      <c r="O24" s="3"/>
      <c r="P24" s="3"/>
      <c r="Q24" s="3"/>
      <c r="R24" s="3"/>
      <c r="S24" s="3"/>
      <c r="T24" s="3"/>
      <c r="U24" s="3"/>
      <c r="V24" s="3"/>
      <c r="W24" s="3"/>
      <c r="X24" s="3"/>
      <c r="Y24" s="3"/>
      <c r="Z24" s="3"/>
    </row>
    <row r="25" spans="1:26" ht="15.75" customHeight="1">
      <c r="A25" s="105">
        <v>21</v>
      </c>
      <c r="B25" s="105" t="s">
        <v>18</v>
      </c>
      <c r="C25" s="105" t="s">
        <v>229</v>
      </c>
      <c r="D25" s="105" t="s">
        <v>227</v>
      </c>
      <c r="E25" s="109">
        <v>2</v>
      </c>
      <c r="F25" s="109">
        <v>2</v>
      </c>
      <c r="G25" s="109">
        <v>2</v>
      </c>
      <c r="H25" s="109">
        <v>2</v>
      </c>
      <c r="I25" s="109">
        <v>2</v>
      </c>
      <c r="J25" s="109">
        <v>10</v>
      </c>
      <c r="K25" s="3"/>
      <c r="L25" s="3"/>
      <c r="M25" s="3"/>
      <c r="N25" s="3"/>
      <c r="O25" s="3"/>
      <c r="P25" s="3"/>
      <c r="Q25" s="3"/>
      <c r="R25" s="3"/>
      <c r="S25" s="3"/>
      <c r="T25" s="3"/>
      <c r="U25" s="3"/>
      <c r="V25" s="3"/>
      <c r="W25" s="3"/>
      <c r="X25" s="3"/>
      <c r="Y25" s="3"/>
      <c r="Z25" s="3"/>
    </row>
    <row r="26" spans="1:26" ht="15.75" customHeight="1">
      <c r="A26" s="108">
        <v>22</v>
      </c>
      <c r="B26" s="108" t="s">
        <v>18</v>
      </c>
      <c r="C26" s="108" t="s">
        <v>238</v>
      </c>
      <c r="D26" s="108" t="s">
        <v>236</v>
      </c>
      <c r="E26" s="109">
        <v>2</v>
      </c>
      <c r="F26" s="109">
        <v>2</v>
      </c>
      <c r="G26" s="109">
        <v>2</v>
      </c>
      <c r="H26" s="109">
        <v>2</v>
      </c>
      <c r="I26" s="109">
        <v>2</v>
      </c>
      <c r="J26" s="109">
        <v>10</v>
      </c>
      <c r="K26" s="3"/>
      <c r="L26" s="3"/>
      <c r="M26" s="3"/>
      <c r="N26" s="3"/>
      <c r="O26" s="3"/>
      <c r="P26" s="3"/>
      <c r="Q26" s="3"/>
      <c r="R26" s="3"/>
      <c r="S26" s="3"/>
      <c r="T26" s="3"/>
      <c r="U26" s="3"/>
      <c r="V26" s="3"/>
      <c r="W26" s="3"/>
      <c r="X26" s="3"/>
      <c r="Y26" s="3"/>
      <c r="Z26" s="3"/>
    </row>
    <row r="27" spans="1:26" ht="15.75" customHeight="1">
      <c r="A27" s="105">
        <v>23</v>
      </c>
      <c r="B27" s="105" t="s">
        <v>18</v>
      </c>
      <c r="C27" s="105" t="s">
        <v>248</v>
      </c>
      <c r="D27" s="105" t="s">
        <v>246</v>
      </c>
      <c r="E27" s="106">
        <v>1</v>
      </c>
      <c r="F27" s="109">
        <v>2</v>
      </c>
      <c r="G27" s="106">
        <v>1</v>
      </c>
      <c r="H27" s="109">
        <v>2</v>
      </c>
      <c r="I27" s="106">
        <v>1</v>
      </c>
      <c r="J27" s="110">
        <v>7</v>
      </c>
      <c r="K27" s="3"/>
      <c r="L27" s="3"/>
      <c r="M27" s="3"/>
      <c r="N27" s="3"/>
      <c r="O27" s="3"/>
      <c r="P27" s="3"/>
      <c r="Q27" s="3"/>
      <c r="R27" s="3"/>
      <c r="S27" s="3"/>
      <c r="T27" s="3"/>
      <c r="U27" s="3"/>
      <c r="V27" s="3"/>
      <c r="W27" s="3"/>
      <c r="X27" s="3"/>
      <c r="Y27" s="3"/>
      <c r="Z27" s="3"/>
    </row>
    <row r="28" spans="1:26" ht="15.75" customHeight="1">
      <c r="A28" s="108">
        <v>24</v>
      </c>
      <c r="B28" s="108" t="s">
        <v>18</v>
      </c>
      <c r="C28" s="108" t="s">
        <v>258</v>
      </c>
      <c r="D28" s="108" t="s">
        <v>256</v>
      </c>
      <c r="E28" s="109">
        <v>2</v>
      </c>
      <c r="F28" s="109">
        <v>2</v>
      </c>
      <c r="G28" s="106">
        <v>1</v>
      </c>
      <c r="H28" s="109">
        <v>2</v>
      </c>
      <c r="I28" s="106">
        <v>1</v>
      </c>
      <c r="J28" s="110">
        <v>8</v>
      </c>
      <c r="K28" s="3"/>
      <c r="L28" s="3"/>
      <c r="M28" s="3"/>
      <c r="N28" s="3"/>
      <c r="O28" s="3"/>
      <c r="P28" s="3"/>
      <c r="Q28" s="3"/>
      <c r="R28" s="3"/>
      <c r="S28" s="3"/>
      <c r="T28" s="3"/>
      <c r="U28" s="3"/>
      <c r="V28" s="3"/>
      <c r="W28" s="3"/>
      <c r="X28" s="3"/>
      <c r="Y28" s="3"/>
      <c r="Z28" s="3"/>
    </row>
    <row r="29" spans="1:26" ht="15.75" customHeight="1">
      <c r="A29" s="105">
        <v>25</v>
      </c>
      <c r="B29" s="105" t="s">
        <v>18</v>
      </c>
      <c r="C29" s="105" t="s">
        <v>267</v>
      </c>
      <c r="D29" s="105" t="s">
        <v>265</v>
      </c>
      <c r="E29" s="109">
        <v>2</v>
      </c>
      <c r="F29" s="106">
        <v>1</v>
      </c>
      <c r="G29" s="109">
        <v>2</v>
      </c>
      <c r="H29" s="109">
        <v>2</v>
      </c>
      <c r="I29" s="109">
        <v>2</v>
      </c>
      <c r="J29" s="109">
        <v>9</v>
      </c>
      <c r="K29" s="3"/>
      <c r="L29" s="3"/>
      <c r="M29" s="3"/>
      <c r="N29" s="3"/>
      <c r="O29" s="3"/>
      <c r="P29" s="3"/>
      <c r="Q29" s="3"/>
      <c r="R29" s="3"/>
      <c r="S29" s="3"/>
      <c r="T29" s="3"/>
      <c r="U29" s="3"/>
      <c r="V29" s="3"/>
      <c r="W29" s="3"/>
      <c r="X29" s="3"/>
      <c r="Y29" s="3"/>
      <c r="Z29" s="3"/>
    </row>
    <row r="30" spans="1:26" ht="15.75" customHeight="1">
      <c r="A30" s="108">
        <v>26</v>
      </c>
      <c r="B30" s="108" t="s">
        <v>18</v>
      </c>
      <c r="C30" s="108" t="s">
        <v>277</v>
      </c>
      <c r="D30" s="108" t="s">
        <v>275</v>
      </c>
      <c r="E30" s="109">
        <v>2</v>
      </c>
      <c r="F30" s="109">
        <v>2</v>
      </c>
      <c r="G30" s="109">
        <v>2</v>
      </c>
      <c r="H30" s="109">
        <v>2</v>
      </c>
      <c r="I30" s="109">
        <v>2</v>
      </c>
      <c r="J30" s="109">
        <v>10</v>
      </c>
      <c r="K30" s="3"/>
      <c r="L30" s="3"/>
      <c r="M30" s="3"/>
      <c r="N30" s="3"/>
      <c r="O30" s="3"/>
      <c r="P30" s="3"/>
      <c r="Q30" s="3"/>
      <c r="R30" s="3"/>
      <c r="S30" s="3"/>
      <c r="T30" s="3"/>
      <c r="U30" s="3"/>
      <c r="V30" s="3"/>
      <c r="W30" s="3"/>
      <c r="X30" s="3"/>
      <c r="Y30" s="3"/>
      <c r="Z30" s="3"/>
    </row>
    <row r="31" spans="1:26" ht="15.75" customHeight="1">
      <c r="A31" s="105">
        <v>27</v>
      </c>
      <c r="B31" s="105" t="s">
        <v>18</v>
      </c>
      <c r="C31" s="105" t="s">
        <v>289</v>
      </c>
      <c r="D31" s="105" t="s">
        <v>287</v>
      </c>
      <c r="E31" s="109">
        <v>2</v>
      </c>
      <c r="F31" s="109">
        <v>2</v>
      </c>
      <c r="G31" s="109">
        <v>2</v>
      </c>
      <c r="H31" s="109">
        <v>2</v>
      </c>
      <c r="I31" s="109">
        <v>2</v>
      </c>
      <c r="J31" s="109">
        <v>10</v>
      </c>
      <c r="K31" s="3"/>
      <c r="L31" s="3"/>
      <c r="M31" s="3"/>
      <c r="N31" s="3"/>
      <c r="O31" s="3"/>
      <c r="P31" s="3"/>
      <c r="Q31" s="3"/>
      <c r="R31" s="3"/>
      <c r="S31" s="3"/>
      <c r="T31" s="3"/>
      <c r="U31" s="3"/>
      <c r="V31" s="3"/>
      <c r="W31" s="3"/>
      <c r="X31" s="3"/>
      <c r="Y31" s="3"/>
      <c r="Z31" s="3"/>
    </row>
    <row r="32" spans="1:26" ht="15.75" customHeight="1">
      <c r="A32" s="108">
        <v>28</v>
      </c>
      <c r="B32" s="108" t="s">
        <v>18</v>
      </c>
      <c r="C32" s="108" t="s">
        <v>301</v>
      </c>
      <c r="D32" s="108" t="s">
        <v>299</v>
      </c>
      <c r="E32" s="109">
        <v>2</v>
      </c>
      <c r="F32" s="109">
        <v>2</v>
      </c>
      <c r="G32" s="106">
        <v>1</v>
      </c>
      <c r="H32" s="109">
        <v>2</v>
      </c>
      <c r="I32" s="106">
        <v>1</v>
      </c>
      <c r="J32" s="110">
        <v>8</v>
      </c>
      <c r="K32" s="3"/>
      <c r="L32" s="3"/>
      <c r="M32" s="3"/>
      <c r="N32" s="3"/>
      <c r="O32" s="3"/>
      <c r="P32" s="3"/>
      <c r="Q32" s="3"/>
      <c r="R32" s="3"/>
      <c r="S32" s="3"/>
      <c r="T32" s="3"/>
      <c r="U32" s="3"/>
      <c r="V32" s="3"/>
      <c r="W32" s="3"/>
      <c r="X32" s="3"/>
      <c r="Y32" s="3"/>
      <c r="Z32" s="3"/>
    </row>
    <row r="33" spans="1:26" ht="15.75" customHeight="1">
      <c r="A33" s="105">
        <v>29</v>
      </c>
      <c r="B33" s="105" t="s">
        <v>18</v>
      </c>
      <c r="C33" s="105" t="s">
        <v>311</v>
      </c>
      <c r="D33" s="105" t="s">
        <v>309</v>
      </c>
      <c r="E33" s="106">
        <v>1</v>
      </c>
      <c r="F33" s="106">
        <v>1</v>
      </c>
      <c r="G33" s="106">
        <v>1</v>
      </c>
      <c r="H33" s="109">
        <v>2</v>
      </c>
      <c r="I33" s="106">
        <v>1</v>
      </c>
      <c r="J33" s="106">
        <v>6</v>
      </c>
      <c r="K33" s="3"/>
      <c r="L33" s="3"/>
      <c r="M33" s="3"/>
      <c r="N33" s="3"/>
      <c r="O33" s="3"/>
      <c r="P33" s="3"/>
      <c r="Q33" s="3"/>
      <c r="R33" s="3"/>
      <c r="S33" s="3"/>
      <c r="T33" s="3"/>
      <c r="U33" s="3"/>
      <c r="V33" s="3"/>
      <c r="W33" s="3"/>
      <c r="X33" s="3"/>
      <c r="Y33" s="3"/>
      <c r="Z33" s="3"/>
    </row>
    <row r="34" spans="1:26" ht="15.75" customHeight="1">
      <c r="A34" s="108">
        <v>30</v>
      </c>
      <c r="B34" s="108" t="s">
        <v>18</v>
      </c>
      <c r="C34" s="108" t="s">
        <v>322</v>
      </c>
      <c r="D34" s="108" t="s">
        <v>320</v>
      </c>
      <c r="E34" s="109">
        <v>2</v>
      </c>
      <c r="F34" s="109">
        <v>2</v>
      </c>
      <c r="G34" s="109">
        <v>2</v>
      </c>
      <c r="H34" s="109">
        <v>2</v>
      </c>
      <c r="I34" s="109">
        <v>2</v>
      </c>
      <c r="J34" s="109">
        <v>10</v>
      </c>
      <c r="K34" s="3"/>
      <c r="L34" s="3"/>
      <c r="M34" s="3"/>
      <c r="N34" s="3"/>
      <c r="O34" s="3"/>
      <c r="P34" s="3"/>
      <c r="Q34" s="3"/>
      <c r="R34" s="3"/>
      <c r="S34" s="3"/>
      <c r="T34" s="3"/>
      <c r="U34" s="3"/>
      <c r="V34" s="3"/>
      <c r="W34" s="3"/>
      <c r="X34" s="3"/>
      <c r="Y34" s="3"/>
      <c r="Z34" s="3"/>
    </row>
    <row r="35" spans="1:26" ht="15.75" customHeight="1">
      <c r="A35" s="105">
        <v>31</v>
      </c>
      <c r="B35" s="105" t="s">
        <v>18</v>
      </c>
      <c r="C35" s="105" t="s">
        <v>332</v>
      </c>
      <c r="D35" s="105" t="s">
        <v>330</v>
      </c>
      <c r="E35" s="109">
        <v>2</v>
      </c>
      <c r="F35" s="109">
        <v>2</v>
      </c>
      <c r="G35" s="106">
        <v>1</v>
      </c>
      <c r="H35" s="109">
        <v>2</v>
      </c>
      <c r="I35" s="106">
        <v>1</v>
      </c>
      <c r="J35" s="110">
        <v>8</v>
      </c>
      <c r="K35" s="3"/>
      <c r="L35" s="3"/>
      <c r="M35" s="3"/>
      <c r="N35" s="3"/>
      <c r="O35" s="3"/>
      <c r="P35" s="3"/>
      <c r="Q35" s="3"/>
      <c r="R35" s="3"/>
      <c r="S35" s="3"/>
      <c r="T35" s="3"/>
      <c r="U35" s="3"/>
      <c r="V35" s="3"/>
      <c r="W35" s="3"/>
      <c r="X35" s="3"/>
      <c r="Y35" s="3"/>
      <c r="Z35" s="3"/>
    </row>
    <row r="36" spans="1:26" ht="15.75" customHeight="1">
      <c r="A36" s="108">
        <v>32</v>
      </c>
      <c r="B36" s="108" t="s">
        <v>18</v>
      </c>
      <c r="C36" s="108" t="s">
        <v>344</v>
      </c>
      <c r="D36" s="108" t="s">
        <v>341</v>
      </c>
      <c r="E36" s="106">
        <v>1</v>
      </c>
      <c r="F36" s="106">
        <v>1</v>
      </c>
      <c r="G36" s="106">
        <v>1</v>
      </c>
      <c r="H36" s="107">
        <v>0</v>
      </c>
      <c r="I36" s="106">
        <v>1</v>
      </c>
      <c r="J36" s="107">
        <v>4</v>
      </c>
      <c r="K36" s="3"/>
      <c r="L36" s="3"/>
      <c r="M36" s="3"/>
      <c r="N36" s="3"/>
      <c r="O36" s="3"/>
      <c r="P36" s="3"/>
      <c r="Q36" s="3"/>
      <c r="R36" s="3"/>
      <c r="S36" s="3"/>
      <c r="T36" s="3"/>
      <c r="U36" s="3"/>
      <c r="V36" s="3"/>
      <c r="W36" s="3"/>
      <c r="X36" s="3"/>
      <c r="Y36" s="3"/>
      <c r="Z36" s="3"/>
    </row>
    <row r="37" spans="1:26" ht="15.75" customHeight="1">
      <c r="A37" s="105">
        <v>33</v>
      </c>
      <c r="B37" s="105" t="s">
        <v>18</v>
      </c>
      <c r="C37" s="105" t="s">
        <v>355</v>
      </c>
      <c r="D37" s="105" t="s">
        <v>352</v>
      </c>
      <c r="E37" s="106">
        <v>1</v>
      </c>
      <c r="F37" s="109">
        <v>2</v>
      </c>
      <c r="G37" s="109">
        <v>2</v>
      </c>
      <c r="H37" s="109">
        <v>2</v>
      </c>
      <c r="I37" s="109">
        <v>2</v>
      </c>
      <c r="J37" s="109">
        <v>9</v>
      </c>
      <c r="K37" s="3"/>
      <c r="L37" s="3"/>
      <c r="M37" s="3"/>
      <c r="N37" s="3"/>
      <c r="O37" s="3"/>
      <c r="P37" s="3"/>
      <c r="Q37" s="3"/>
      <c r="R37" s="3"/>
      <c r="S37" s="3"/>
      <c r="T37" s="3"/>
      <c r="U37" s="3"/>
      <c r="V37" s="3"/>
      <c r="W37" s="3"/>
      <c r="X37" s="3"/>
      <c r="Y37" s="3"/>
      <c r="Z37" s="3"/>
    </row>
    <row r="38" spans="1:26" ht="15.75" customHeight="1">
      <c r="A38" s="108">
        <v>34</v>
      </c>
      <c r="B38" s="108" t="s">
        <v>18</v>
      </c>
      <c r="C38" s="108" t="s">
        <v>366</v>
      </c>
      <c r="D38" s="108" t="s">
        <v>363</v>
      </c>
      <c r="E38" s="109">
        <v>2</v>
      </c>
      <c r="F38" s="107">
        <v>0</v>
      </c>
      <c r="G38" s="106">
        <v>1</v>
      </c>
      <c r="H38" s="109">
        <v>2</v>
      </c>
      <c r="I38" s="106">
        <v>1</v>
      </c>
      <c r="J38" s="106">
        <v>6</v>
      </c>
      <c r="K38" s="3"/>
      <c r="L38" s="3"/>
      <c r="M38" s="3"/>
      <c r="N38" s="3"/>
      <c r="O38" s="3"/>
      <c r="P38" s="3"/>
      <c r="Q38" s="3"/>
      <c r="R38" s="3"/>
      <c r="S38" s="3"/>
      <c r="T38" s="3"/>
      <c r="U38" s="3"/>
      <c r="V38" s="3"/>
      <c r="W38" s="3"/>
      <c r="X38" s="3"/>
      <c r="Y38" s="3"/>
      <c r="Z38" s="3"/>
    </row>
    <row r="39" spans="1:26" ht="15.75" customHeight="1">
      <c r="A39" s="105">
        <v>35</v>
      </c>
      <c r="B39" s="105" t="s">
        <v>18</v>
      </c>
      <c r="C39" s="105" t="s">
        <v>375</v>
      </c>
      <c r="D39" s="105" t="s">
        <v>372</v>
      </c>
      <c r="E39" s="106">
        <v>1</v>
      </c>
      <c r="F39" s="106">
        <v>1</v>
      </c>
      <c r="G39" s="106">
        <v>1</v>
      </c>
      <c r="H39" s="109">
        <v>2</v>
      </c>
      <c r="I39" s="106">
        <v>1</v>
      </c>
      <c r="J39" s="106">
        <v>6</v>
      </c>
      <c r="K39" s="3"/>
      <c r="L39" s="3"/>
      <c r="M39" s="3"/>
      <c r="N39" s="3"/>
      <c r="O39" s="3"/>
      <c r="P39" s="3"/>
      <c r="Q39" s="3"/>
      <c r="R39" s="3"/>
      <c r="S39" s="3"/>
      <c r="T39" s="3"/>
      <c r="U39" s="3"/>
      <c r="V39" s="3"/>
      <c r="W39" s="3"/>
      <c r="X39" s="3"/>
      <c r="Y39" s="3"/>
      <c r="Z39" s="3"/>
    </row>
    <row r="40" spans="1:26" ht="15.75" customHeight="1">
      <c r="A40" s="108">
        <v>36</v>
      </c>
      <c r="B40" s="108" t="s">
        <v>18</v>
      </c>
      <c r="C40" s="108" t="s">
        <v>386</v>
      </c>
      <c r="D40" s="108" t="s">
        <v>384</v>
      </c>
      <c r="E40" s="109">
        <v>2</v>
      </c>
      <c r="F40" s="109">
        <v>2</v>
      </c>
      <c r="G40" s="109">
        <v>2</v>
      </c>
      <c r="H40" s="107">
        <v>0</v>
      </c>
      <c r="I40" s="109">
        <v>2</v>
      </c>
      <c r="J40" s="110">
        <v>8</v>
      </c>
      <c r="K40" s="3"/>
      <c r="L40" s="3"/>
      <c r="M40" s="3"/>
      <c r="N40" s="3"/>
      <c r="O40" s="3"/>
      <c r="P40" s="3"/>
      <c r="Q40" s="3"/>
      <c r="R40" s="3"/>
      <c r="S40" s="3"/>
      <c r="T40" s="3"/>
      <c r="U40" s="3"/>
      <c r="V40" s="3"/>
      <c r="W40" s="3"/>
      <c r="X40" s="3"/>
      <c r="Y40" s="3"/>
      <c r="Z40" s="3"/>
    </row>
    <row r="41" spans="1:26" ht="15.75" customHeight="1">
      <c r="A41" s="105">
        <v>37</v>
      </c>
      <c r="B41" s="105" t="s">
        <v>18</v>
      </c>
      <c r="C41" s="105" t="s">
        <v>396</v>
      </c>
      <c r="D41" s="105" t="s">
        <v>393</v>
      </c>
      <c r="E41" s="109">
        <v>2</v>
      </c>
      <c r="F41" s="109">
        <v>2</v>
      </c>
      <c r="G41" s="109">
        <v>2</v>
      </c>
      <c r="H41" s="109">
        <v>2</v>
      </c>
      <c r="I41" s="109">
        <v>2</v>
      </c>
      <c r="J41" s="109">
        <v>10</v>
      </c>
      <c r="K41" s="3"/>
      <c r="L41" s="3"/>
      <c r="M41" s="3"/>
      <c r="N41" s="3"/>
      <c r="O41" s="3"/>
      <c r="P41" s="3"/>
      <c r="Q41" s="3"/>
      <c r="R41" s="3"/>
      <c r="S41" s="3"/>
      <c r="T41" s="3"/>
      <c r="U41" s="3"/>
      <c r="V41" s="3"/>
      <c r="W41" s="3"/>
      <c r="X41" s="3"/>
      <c r="Y41" s="3"/>
      <c r="Z41" s="3"/>
    </row>
    <row r="42" spans="1:26" ht="15.75" customHeight="1">
      <c r="A42" s="108">
        <v>38</v>
      </c>
      <c r="B42" s="108" t="s">
        <v>18</v>
      </c>
      <c r="C42" s="108" t="s">
        <v>409</v>
      </c>
      <c r="D42" s="108" t="s">
        <v>406</v>
      </c>
      <c r="E42" s="107">
        <v>0</v>
      </c>
      <c r="F42" s="106">
        <v>1</v>
      </c>
      <c r="G42" s="109">
        <v>2</v>
      </c>
      <c r="H42" s="107">
        <v>0</v>
      </c>
      <c r="I42" s="106">
        <v>1</v>
      </c>
      <c r="J42" s="107">
        <v>4</v>
      </c>
      <c r="K42" s="3"/>
      <c r="L42" s="3"/>
      <c r="M42" s="3"/>
      <c r="N42" s="3"/>
      <c r="O42" s="3"/>
      <c r="P42" s="3"/>
      <c r="Q42" s="3"/>
      <c r="R42" s="3"/>
      <c r="S42" s="3"/>
      <c r="T42" s="3"/>
      <c r="U42" s="3"/>
      <c r="V42" s="3"/>
      <c r="W42" s="3"/>
      <c r="X42" s="3"/>
      <c r="Y42" s="3"/>
      <c r="Z42" s="3"/>
    </row>
    <row r="43" spans="1:26" ht="15.75" customHeight="1">
      <c r="A43" s="105">
        <v>39</v>
      </c>
      <c r="B43" s="105" t="s">
        <v>18</v>
      </c>
      <c r="C43" s="105" t="s">
        <v>420</v>
      </c>
      <c r="D43" s="105" t="s">
        <v>417</v>
      </c>
      <c r="E43" s="106">
        <v>1</v>
      </c>
      <c r="F43" s="106">
        <v>1</v>
      </c>
      <c r="G43" s="106">
        <v>1</v>
      </c>
      <c r="H43" s="109">
        <v>2</v>
      </c>
      <c r="I43" s="106">
        <v>1</v>
      </c>
      <c r="J43" s="106">
        <v>6</v>
      </c>
      <c r="K43" s="3"/>
      <c r="L43" s="3"/>
      <c r="M43" s="3"/>
      <c r="N43" s="3"/>
      <c r="O43" s="3"/>
      <c r="P43" s="3"/>
      <c r="Q43" s="3"/>
      <c r="R43" s="3"/>
      <c r="S43" s="3"/>
      <c r="T43" s="3"/>
      <c r="U43" s="3"/>
      <c r="V43" s="3"/>
      <c r="W43" s="3"/>
      <c r="X43" s="3"/>
      <c r="Y43" s="3"/>
      <c r="Z43" s="3"/>
    </row>
    <row r="44" spans="1:26" ht="15.75" customHeight="1">
      <c r="A44" s="108">
        <v>40</v>
      </c>
      <c r="B44" s="108" t="s">
        <v>18</v>
      </c>
      <c r="C44" s="108" t="s">
        <v>432</v>
      </c>
      <c r="D44" s="108" t="s">
        <v>429</v>
      </c>
      <c r="E44" s="109">
        <v>2</v>
      </c>
      <c r="F44" s="109">
        <v>2</v>
      </c>
      <c r="G44" s="109">
        <v>2</v>
      </c>
      <c r="H44" s="107">
        <v>0</v>
      </c>
      <c r="I44" s="106">
        <v>1</v>
      </c>
      <c r="J44" s="110">
        <v>7</v>
      </c>
      <c r="K44" s="3"/>
      <c r="L44" s="3"/>
      <c r="M44" s="3"/>
      <c r="N44" s="3"/>
      <c r="O44" s="3"/>
      <c r="P44" s="3"/>
      <c r="Q44" s="3"/>
      <c r="R44" s="3"/>
      <c r="S44" s="3"/>
      <c r="T44" s="3"/>
      <c r="U44" s="3"/>
      <c r="V44" s="3"/>
      <c r="W44" s="3"/>
      <c r="X44" s="3"/>
      <c r="Y44" s="3"/>
      <c r="Z44" s="3"/>
    </row>
    <row r="45" spans="1:26" ht="15.75" customHeight="1">
      <c r="A45" s="105">
        <v>41</v>
      </c>
      <c r="B45" s="105" t="s">
        <v>18</v>
      </c>
      <c r="C45" s="105" t="s">
        <v>441</v>
      </c>
      <c r="D45" s="105" t="s">
        <v>439</v>
      </c>
      <c r="E45" s="109">
        <v>2</v>
      </c>
      <c r="F45" s="109">
        <v>2</v>
      </c>
      <c r="G45" s="109">
        <v>2</v>
      </c>
      <c r="H45" s="109">
        <v>2</v>
      </c>
      <c r="I45" s="109">
        <v>2</v>
      </c>
      <c r="J45" s="109">
        <v>10</v>
      </c>
      <c r="K45" s="3"/>
      <c r="L45" s="3"/>
      <c r="M45" s="3"/>
      <c r="N45" s="3"/>
      <c r="O45" s="3"/>
      <c r="P45" s="3"/>
      <c r="Q45" s="3"/>
      <c r="R45" s="3"/>
      <c r="S45" s="3"/>
      <c r="T45" s="3"/>
      <c r="U45" s="3"/>
      <c r="V45" s="3"/>
      <c r="W45" s="3"/>
      <c r="X45" s="3"/>
      <c r="Y45" s="3"/>
      <c r="Z45" s="3"/>
    </row>
    <row r="46" spans="1:26" ht="15.75" customHeight="1">
      <c r="A46" s="108">
        <v>42</v>
      </c>
      <c r="B46" s="108" t="s">
        <v>18</v>
      </c>
      <c r="C46" s="108" t="s">
        <v>451</v>
      </c>
      <c r="D46" s="108" t="s">
        <v>449</v>
      </c>
      <c r="E46" s="109">
        <v>2</v>
      </c>
      <c r="F46" s="109">
        <v>2</v>
      </c>
      <c r="G46" s="109">
        <v>2</v>
      </c>
      <c r="H46" s="107">
        <v>0</v>
      </c>
      <c r="I46" s="109">
        <v>2</v>
      </c>
      <c r="J46" s="110">
        <v>8</v>
      </c>
      <c r="K46" s="3"/>
      <c r="L46" s="3"/>
      <c r="M46" s="3"/>
      <c r="N46" s="3"/>
      <c r="O46" s="3"/>
      <c r="P46" s="3"/>
      <c r="Q46" s="3"/>
      <c r="R46" s="3"/>
      <c r="S46" s="3"/>
      <c r="T46" s="3"/>
      <c r="U46" s="3"/>
      <c r="V46" s="3"/>
      <c r="W46" s="3"/>
      <c r="X46" s="3"/>
      <c r="Y46" s="3"/>
      <c r="Z46" s="3"/>
    </row>
    <row r="47" spans="1:26" ht="15.75" customHeight="1">
      <c r="A47" s="105">
        <v>43</v>
      </c>
      <c r="B47" s="105" t="s">
        <v>18</v>
      </c>
      <c r="C47" s="105" t="s">
        <v>461</v>
      </c>
      <c r="D47" s="105" t="s">
        <v>459</v>
      </c>
      <c r="E47" s="109">
        <v>2</v>
      </c>
      <c r="F47" s="109">
        <v>2</v>
      </c>
      <c r="G47" s="106">
        <v>1</v>
      </c>
      <c r="H47" s="109">
        <v>2</v>
      </c>
      <c r="I47" s="106">
        <v>1</v>
      </c>
      <c r="J47" s="110">
        <v>8</v>
      </c>
      <c r="K47" s="3"/>
      <c r="L47" s="3"/>
      <c r="M47" s="3"/>
      <c r="N47" s="3"/>
      <c r="O47" s="3"/>
      <c r="P47" s="3"/>
      <c r="Q47" s="3"/>
      <c r="R47" s="3"/>
      <c r="S47" s="3"/>
      <c r="T47" s="3"/>
      <c r="U47" s="3"/>
      <c r="V47" s="3"/>
      <c r="W47" s="3"/>
      <c r="X47" s="3"/>
      <c r="Y47" s="3"/>
      <c r="Z47" s="3"/>
    </row>
    <row r="48" spans="1:26" ht="15.75" customHeight="1">
      <c r="A48" s="108">
        <v>44</v>
      </c>
      <c r="B48" s="108" t="s">
        <v>18</v>
      </c>
      <c r="C48" s="108" t="s">
        <v>470</v>
      </c>
      <c r="D48" s="108" t="s">
        <v>468</v>
      </c>
      <c r="E48" s="109">
        <v>2</v>
      </c>
      <c r="F48" s="106">
        <v>1</v>
      </c>
      <c r="G48" s="109">
        <v>2</v>
      </c>
      <c r="H48" s="107">
        <v>0</v>
      </c>
      <c r="I48" s="109">
        <v>2</v>
      </c>
      <c r="J48" s="110">
        <v>7</v>
      </c>
      <c r="K48" s="3"/>
      <c r="L48" s="3"/>
      <c r="M48" s="3"/>
      <c r="N48" s="3"/>
      <c r="O48" s="3"/>
      <c r="P48" s="3"/>
      <c r="Q48" s="3"/>
      <c r="R48" s="3"/>
      <c r="S48" s="3"/>
      <c r="T48" s="3"/>
      <c r="U48" s="3"/>
      <c r="V48" s="3"/>
      <c r="W48" s="3"/>
      <c r="X48" s="3"/>
      <c r="Y48" s="3"/>
      <c r="Z48" s="3"/>
    </row>
    <row r="49" spans="1:26" ht="15.75" customHeight="1">
      <c r="A49" s="105">
        <v>45</v>
      </c>
      <c r="B49" s="105" t="s">
        <v>18</v>
      </c>
      <c r="C49" s="105" t="s">
        <v>478</v>
      </c>
      <c r="D49" s="105" t="s">
        <v>475</v>
      </c>
      <c r="E49" s="109">
        <v>2</v>
      </c>
      <c r="F49" s="107">
        <v>0</v>
      </c>
      <c r="G49" s="106">
        <v>1</v>
      </c>
      <c r="H49" s="107">
        <v>0</v>
      </c>
      <c r="I49" s="106">
        <v>1</v>
      </c>
      <c r="J49" s="107">
        <v>4</v>
      </c>
      <c r="K49" s="3"/>
      <c r="L49" s="3"/>
      <c r="M49" s="3"/>
      <c r="N49" s="3"/>
      <c r="O49" s="3"/>
      <c r="P49" s="3"/>
      <c r="Q49" s="3"/>
      <c r="R49" s="3"/>
      <c r="S49" s="3"/>
      <c r="T49" s="3"/>
      <c r="U49" s="3"/>
      <c r="V49" s="3"/>
      <c r="W49" s="3"/>
      <c r="X49" s="3"/>
      <c r="Y49" s="3"/>
      <c r="Z49" s="3"/>
    </row>
    <row r="50" spans="1:26" ht="15.75" customHeight="1">
      <c r="A50" s="108">
        <v>46</v>
      </c>
      <c r="B50" s="108" t="s">
        <v>18</v>
      </c>
      <c r="C50" s="108" t="s">
        <v>486</v>
      </c>
      <c r="D50" s="108" t="s">
        <v>484</v>
      </c>
      <c r="E50" s="109">
        <v>2</v>
      </c>
      <c r="F50" s="107">
        <v>0</v>
      </c>
      <c r="G50" s="106">
        <v>1</v>
      </c>
      <c r="H50" s="107">
        <v>0</v>
      </c>
      <c r="I50" s="106">
        <v>1</v>
      </c>
      <c r="J50" s="107">
        <v>4</v>
      </c>
      <c r="K50" s="3"/>
      <c r="L50" s="3"/>
      <c r="M50" s="3"/>
      <c r="N50" s="3"/>
      <c r="O50" s="3"/>
      <c r="P50" s="3"/>
      <c r="Q50" s="3"/>
      <c r="R50" s="3"/>
      <c r="S50" s="3"/>
      <c r="T50" s="3"/>
      <c r="U50" s="3"/>
      <c r="V50" s="3"/>
      <c r="W50" s="3"/>
      <c r="X50" s="3"/>
      <c r="Y50" s="3"/>
      <c r="Z50" s="3"/>
    </row>
    <row r="51" spans="1:26" ht="15.75" customHeight="1">
      <c r="A51" s="105">
        <v>47</v>
      </c>
      <c r="B51" s="105" t="s">
        <v>18</v>
      </c>
      <c r="C51" s="105" t="s">
        <v>494</v>
      </c>
      <c r="D51" s="105" t="s">
        <v>492</v>
      </c>
      <c r="E51" s="109">
        <v>2</v>
      </c>
      <c r="F51" s="106">
        <v>1</v>
      </c>
      <c r="G51" s="106">
        <v>1</v>
      </c>
      <c r="H51" s="107">
        <v>0</v>
      </c>
      <c r="I51" s="106">
        <v>1</v>
      </c>
      <c r="J51" s="106">
        <v>5</v>
      </c>
      <c r="K51" s="3"/>
      <c r="L51" s="3"/>
      <c r="M51" s="3"/>
      <c r="N51" s="3"/>
      <c r="O51" s="3"/>
      <c r="P51" s="3"/>
      <c r="Q51" s="3"/>
      <c r="R51" s="3"/>
      <c r="S51" s="3"/>
      <c r="T51" s="3"/>
      <c r="U51" s="3"/>
      <c r="V51" s="3"/>
      <c r="W51" s="3"/>
      <c r="X51" s="3"/>
      <c r="Y51" s="3"/>
      <c r="Z51" s="3"/>
    </row>
    <row r="52" spans="1:26" ht="15.75" customHeight="1">
      <c r="A52" s="108">
        <v>48</v>
      </c>
      <c r="B52" s="108" t="s">
        <v>18</v>
      </c>
      <c r="C52" s="108" t="s">
        <v>503</v>
      </c>
      <c r="D52" s="108" t="s">
        <v>501</v>
      </c>
      <c r="E52" s="109">
        <v>2</v>
      </c>
      <c r="F52" s="106">
        <v>1</v>
      </c>
      <c r="G52" s="109">
        <v>2</v>
      </c>
      <c r="H52" s="107">
        <v>0</v>
      </c>
      <c r="I52" s="109">
        <v>2</v>
      </c>
      <c r="J52" s="110">
        <v>7</v>
      </c>
      <c r="K52" s="3"/>
      <c r="L52" s="3"/>
      <c r="M52" s="3"/>
      <c r="N52" s="3"/>
      <c r="O52" s="3"/>
      <c r="P52" s="3"/>
      <c r="Q52" s="3"/>
      <c r="R52" s="3"/>
      <c r="S52" s="3"/>
      <c r="T52" s="3"/>
      <c r="U52" s="3"/>
      <c r="V52" s="3"/>
      <c r="W52" s="3"/>
      <c r="X52" s="3"/>
      <c r="Y52" s="3"/>
      <c r="Z52" s="3"/>
    </row>
    <row r="53" spans="1:26" ht="15.75" customHeight="1">
      <c r="A53" s="105">
        <v>49</v>
      </c>
      <c r="B53" s="105" t="s">
        <v>18</v>
      </c>
      <c r="C53" s="105" t="s">
        <v>512</v>
      </c>
      <c r="D53" s="105" t="s">
        <v>510</v>
      </c>
      <c r="E53" s="106">
        <v>1</v>
      </c>
      <c r="F53" s="106">
        <v>1</v>
      </c>
      <c r="G53" s="106">
        <v>1</v>
      </c>
      <c r="H53" s="107">
        <v>0</v>
      </c>
      <c r="I53" s="106">
        <v>1</v>
      </c>
      <c r="J53" s="107">
        <v>4</v>
      </c>
      <c r="K53" s="3"/>
      <c r="L53" s="3"/>
      <c r="M53" s="3"/>
      <c r="N53" s="3"/>
      <c r="O53" s="3"/>
      <c r="P53" s="3"/>
      <c r="Q53" s="3"/>
      <c r="R53" s="3"/>
      <c r="S53" s="3"/>
      <c r="T53" s="3"/>
      <c r="U53" s="3"/>
      <c r="V53" s="3"/>
      <c r="W53" s="3"/>
      <c r="X53" s="3"/>
      <c r="Y53" s="3"/>
      <c r="Z53" s="3"/>
    </row>
    <row r="54" spans="1:26" ht="15.75" customHeight="1">
      <c r="A54" s="108">
        <v>50</v>
      </c>
      <c r="B54" s="108" t="s">
        <v>18</v>
      </c>
      <c r="C54" s="108" t="s">
        <v>522</v>
      </c>
      <c r="D54" s="108" t="s">
        <v>520</v>
      </c>
      <c r="E54" s="106">
        <v>1</v>
      </c>
      <c r="F54" s="106">
        <v>1</v>
      </c>
      <c r="G54" s="106">
        <v>1</v>
      </c>
      <c r="H54" s="107">
        <v>0</v>
      </c>
      <c r="I54" s="106">
        <v>1</v>
      </c>
      <c r="J54" s="107">
        <v>4</v>
      </c>
      <c r="K54" s="3"/>
      <c r="L54" s="3"/>
      <c r="M54" s="3"/>
      <c r="N54" s="3"/>
      <c r="O54" s="3"/>
      <c r="P54" s="3"/>
      <c r="Q54" s="3"/>
      <c r="R54" s="3"/>
      <c r="S54" s="3"/>
      <c r="T54" s="3"/>
      <c r="U54" s="3"/>
      <c r="V54" s="3"/>
      <c r="W54" s="3"/>
      <c r="X54" s="3"/>
      <c r="Y54" s="3"/>
      <c r="Z54" s="3"/>
    </row>
    <row r="55" spans="1:26" ht="15.75" customHeight="1">
      <c r="A55" s="105">
        <v>51</v>
      </c>
      <c r="B55" s="105" t="s">
        <v>18</v>
      </c>
      <c r="C55" s="105" t="s">
        <v>530</v>
      </c>
      <c r="D55" s="105" t="s">
        <v>528</v>
      </c>
      <c r="E55" s="109">
        <v>2</v>
      </c>
      <c r="F55" s="109">
        <v>2</v>
      </c>
      <c r="G55" s="109">
        <v>2</v>
      </c>
      <c r="H55" s="109">
        <v>2</v>
      </c>
      <c r="I55" s="109">
        <v>2</v>
      </c>
      <c r="J55" s="109">
        <v>10</v>
      </c>
      <c r="K55" s="3"/>
      <c r="L55" s="3"/>
      <c r="M55" s="3"/>
      <c r="N55" s="3"/>
      <c r="O55" s="3"/>
      <c r="P55" s="3"/>
      <c r="Q55" s="3"/>
      <c r="R55" s="3"/>
      <c r="S55" s="3"/>
      <c r="T55" s="3"/>
      <c r="U55" s="3"/>
      <c r="V55" s="3"/>
      <c r="W55" s="3"/>
      <c r="X55" s="3"/>
      <c r="Y55" s="3"/>
      <c r="Z55" s="3"/>
    </row>
    <row r="56" spans="1:26" ht="15.75" customHeight="1">
      <c r="A56" s="108">
        <v>52</v>
      </c>
      <c r="B56" s="108" t="s">
        <v>18</v>
      </c>
      <c r="C56" s="108" t="s">
        <v>540</v>
      </c>
      <c r="D56" s="108" t="s">
        <v>538</v>
      </c>
      <c r="E56" s="106">
        <v>1</v>
      </c>
      <c r="F56" s="107">
        <v>0</v>
      </c>
      <c r="G56" s="106">
        <v>1</v>
      </c>
      <c r="H56" s="107">
        <v>0</v>
      </c>
      <c r="I56" s="106">
        <v>1</v>
      </c>
      <c r="J56" s="107">
        <v>3</v>
      </c>
      <c r="K56" s="3"/>
      <c r="L56" s="3"/>
      <c r="M56" s="3"/>
      <c r="N56" s="3"/>
      <c r="O56" s="3"/>
      <c r="P56" s="3"/>
      <c r="Q56" s="3"/>
      <c r="R56" s="3"/>
      <c r="S56" s="3"/>
      <c r="T56" s="3"/>
      <c r="U56" s="3"/>
      <c r="V56" s="3"/>
      <c r="W56" s="3"/>
      <c r="X56" s="3"/>
      <c r="Y56" s="3"/>
      <c r="Z56" s="3"/>
    </row>
    <row r="57" spans="1:26" ht="15.75" customHeight="1">
      <c r="A57" s="105">
        <v>54</v>
      </c>
      <c r="B57" s="105" t="s">
        <v>546</v>
      </c>
      <c r="C57" s="105" t="s">
        <v>557</v>
      </c>
      <c r="D57" s="105" t="s">
        <v>553</v>
      </c>
      <c r="E57" s="109">
        <v>2</v>
      </c>
      <c r="F57" s="106">
        <v>1</v>
      </c>
      <c r="G57" s="109">
        <v>2</v>
      </c>
      <c r="H57" s="109">
        <v>2</v>
      </c>
      <c r="I57" s="109">
        <v>2</v>
      </c>
      <c r="J57" s="109">
        <v>9</v>
      </c>
      <c r="K57" s="3"/>
      <c r="L57" s="3"/>
      <c r="M57" s="3"/>
      <c r="N57" s="3"/>
      <c r="O57" s="3"/>
      <c r="P57" s="3"/>
      <c r="Q57" s="3"/>
      <c r="R57" s="3"/>
      <c r="S57" s="3"/>
      <c r="T57" s="3"/>
      <c r="U57" s="3"/>
      <c r="V57" s="3"/>
      <c r="W57" s="3"/>
      <c r="X57" s="3"/>
      <c r="Y57" s="3"/>
      <c r="Z57" s="3"/>
    </row>
    <row r="58" spans="1:26" ht="15.75" customHeight="1">
      <c r="A58" s="250">
        <v>57</v>
      </c>
      <c r="B58" s="250" t="s">
        <v>546</v>
      </c>
      <c r="C58" s="250" t="s">
        <v>583</v>
      </c>
      <c r="D58" s="250" t="s">
        <v>494</v>
      </c>
      <c r="E58" s="251">
        <v>2</v>
      </c>
      <c r="F58" s="252">
        <v>1</v>
      </c>
      <c r="G58" s="251">
        <v>2</v>
      </c>
      <c r="H58" s="253">
        <v>0</v>
      </c>
      <c r="I58" s="251">
        <v>2</v>
      </c>
      <c r="J58" s="254">
        <v>7</v>
      </c>
      <c r="K58" s="255"/>
      <c r="L58" s="255"/>
      <c r="M58" s="3"/>
      <c r="N58" s="3"/>
      <c r="O58" s="3"/>
      <c r="P58" s="3"/>
      <c r="Q58" s="3"/>
      <c r="R58" s="3"/>
      <c r="S58" s="3"/>
      <c r="T58" s="3"/>
      <c r="U58" s="3"/>
      <c r="V58" s="3"/>
      <c r="W58" s="3"/>
      <c r="X58" s="3"/>
      <c r="Y58" s="3"/>
      <c r="Z58" s="3"/>
    </row>
    <row r="59" spans="1:26" ht="15.75" customHeight="1">
      <c r="A59" s="105">
        <v>58</v>
      </c>
      <c r="B59" s="105" t="s">
        <v>546</v>
      </c>
      <c r="C59" s="105" t="s">
        <v>593</v>
      </c>
      <c r="D59" s="105" t="s">
        <v>589</v>
      </c>
      <c r="E59" s="109">
        <v>2</v>
      </c>
      <c r="F59" s="109">
        <v>2</v>
      </c>
      <c r="G59" s="109">
        <v>2</v>
      </c>
      <c r="H59" s="107">
        <v>0</v>
      </c>
      <c r="I59" s="109">
        <v>2</v>
      </c>
      <c r="J59" s="110">
        <v>8</v>
      </c>
      <c r="K59" s="3"/>
      <c r="L59" s="3"/>
      <c r="M59" s="3"/>
      <c r="N59" s="3"/>
      <c r="O59" s="3"/>
      <c r="P59" s="3"/>
      <c r="Q59" s="3"/>
      <c r="R59" s="3"/>
      <c r="S59" s="3"/>
      <c r="T59" s="3"/>
      <c r="U59" s="3"/>
      <c r="V59" s="3"/>
      <c r="W59" s="3"/>
      <c r="X59" s="3"/>
      <c r="Y59" s="3"/>
      <c r="Z59" s="3"/>
    </row>
    <row r="60" spans="1:26" ht="15.75" customHeight="1">
      <c r="A60" s="108">
        <v>59</v>
      </c>
      <c r="B60" s="108" t="s">
        <v>546</v>
      </c>
      <c r="C60" s="108" t="s">
        <v>603</v>
      </c>
      <c r="D60" s="108" t="s">
        <v>600</v>
      </c>
      <c r="E60" s="106">
        <v>1</v>
      </c>
      <c r="F60" s="106">
        <v>1</v>
      </c>
      <c r="G60" s="109">
        <v>2</v>
      </c>
      <c r="H60" s="109">
        <v>2</v>
      </c>
      <c r="I60" s="106">
        <v>1</v>
      </c>
      <c r="J60" s="110">
        <v>7</v>
      </c>
      <c r="K60" s="3"/>
      <c r="L60" s="3"/>
      <c r="M60" s="3"/>
      <c r="N60" s="3"/>
      <c r="O60" s="3"/>
      <c r="P60" s="3"/>
      <c r="Q60" s="3"/>
      <c r="R60" s="3"/>
      <c r="S60" s="3"/>
      <c r="T60" s="3"/>
      <c r="U60" s="3"/>
      <c r="V60" s="3"/>
      <c r="W60" s="3"/>
      <c r="X60" s="3"/>
      <c r="Y60" s="3"/>
      <c r="Z60" s="3"/>
    </row>
    <row r="61" spans="1:26" ht="15.75" customHeight="1">
      <c r="A61" s="105">
        <v>60</v>
      </c>
      <c r="B61" s="105" t="s">
        <v>546</v>
      </c>
      <c r="C61" s="105" t="s">
        <v>603</v>
      </c>
      <c r="D61" s="105" t="s">
        <v>611</v>
      </c>
      <c r="E61" s="106">
        <v>1</v>
      </c>
      <c r="F61" s="109">
        <v>2</v>
      </c>
      <c r="G61" s="106">
        <v>1</v>
      </c>
      <c r="H61" s="109">
        <v>2</v>
      </c>
      <c r="I61" s="106">
        <v>1</v>
      </c>
      <c r="J61" s="110">
        <v>7</v>
      </c>
      <c r="K61" s="3"/>
      <c r="L61" s="3"/>
      <c r="M61" s="3"/>
      <c r="N61" s="3"/>
      <c r="O61" s="3"/>
      <c r="P61" s="3"/>
      <c r="Q61" s="3"/>
      <c r="R61" s="3"/>
      <c r="S61" s="3"/>
      <c r="T61" s="3"/>
      <c r="U61" s="3"/>
      <c r="V61" s="3"/>
      <c r="W61" s="3"/>
      <c r="X61" s="3"/>
      <c r="Y61" s="3"/>
      <c r="Z61" s="3"/>
    </row>
    <row r="62" spans="1:26" ht="15.75" customHeight="1">
      <c r="A62" s="108">
        <v>62</v>
      </c>
      <c r="B62" s="108" t="s">
        <v>546</v>
      </c>
      <c r="C62" s="108" t="s">
        <v>631</v>
      </c>
      <c r="D62" s="108" t="s">
        <v>628</v>
      </c>
      <c r="E62" s="109">
        <v>2</v>
      </c>
      <c r="F62" s="109">
        <v>2</v>
      </c>
      <c r="G62" s="106">
        <v>1</v>
      </c>
      <c r="H62" s="107">
        <v>0</v>
      </c>
      <c r="I62" s="106">
        <v>1</v>
      </c>
      <c r="J62" s="106">
        <v>6</v>
      </c>
      <c r="K62" s="3"/>
      <c r="L62" s="3"/>
      <c r="M62" s="3"/>
      <c r="N62" s="3"/>
      <c r="O62" s="3"/>
      <c r="P62" s="3"/>
      <c r="Q62" s="3"/>
      <c r="R62" s="3"/>
      <c r="S62" s="3"/>
      <c r="T62" s="3"/>
      <c r="U62" s="3"/>
      <c r="V62" s="3"/>
      <c r="W62" s="3"/>
      <c r="X62" s="3"/>
      <c r="Y62" s="3"/>
      <c r="Z62" s="3"/>
    </row>
    <row r="63" spans="1:26" ht="15.75" customHeight="1">
      <c r="A63" s="105">
        <v>63</v>
      </c>
      <c r="B63" s="105" t="s">
        <v>546</v>
      </c>
      <c r="C63" s="105" t="s">
        <v>603</v>
      </c>
      <c r="D63" s="105" t="s">
        <v>639</v>
      </c>
      <c r="E63" s="106">
        <v>1</v>
      </c>
      <c r="F63" s="109">
        <v>2</v>
      </c>
      <c r="G63" s="106">
        <v>1</v>
      </c>
      <c r="H63" s="109">
        <v>2</v>
      </c>
      <c r="I63" s="106">
        <v>1</v>
      </c>
      <c r="J63" s="110">
        <v>7</v>
      </c>
      <c r="K63" s="3"/>
      <c r="L63" s="3"/>
      <c r="M63" s="3"/>
      <c r="N63" s="3"/>
      <c r="O63" s="3"/>
      <c r="P63" s="3"/>
      <c r="Q63" s="3"/>
      <c r="R63" s="3"/>
      <c r="S63" s="3"/>
      <c r="T63" s="3"/>
      <c r="U63" s="3"/>
      <c r="V63" s="3"/>
      <c r="W63" s="3"/>
      <c r="X63" s="3"/>
      <c r="Y63" s="3"/>
      <c r="Z63" s="3"/>
    </row>
    <row r="64" spans="1:26" ht="15.75" customHeight="1">
      <c r="A64" s="250">
        <v>64</v>
      </c>
      <c r="B64" s="250" t="s">
        <v>546</v>
      </c>
      <c r="C64" s="250" t="s">
        <v>652</v>
      </c>
      <c r="D64" s="250" t="s">
        <v>650</v>
      </c>
      <c r="E64" s="252">
        <v>1</v>
      </c>
      <c r="F64" s="252">
        <v>1</v>
      </c>
      <c r="G64" s="251">
        <v>2</v>
      </c>
      <c r="H64" s="253">
        <v>0</v>
      </c>
      <c r="I64" s="251">
        <v>2</v>
      </c>
      <c r="J64" s="252">
        <v>6</v>
      </c>
      <c r="K64" s="255"/>
      <c r="L64" s="255"/>
      <c r="M64" s="3"/>
      <c r="N64" s="3"/>
      <c r="O64" s="3"/>
      <c r="P64" s="3"/>
      <c r="Q64" s="3"/>
      <c r="R64" s="3"/>
      <c r="S64" s="3"/>
      <c r="T64" s="3"/>
      <c r="U64" s="3"/>
      <c r="V64" s="3"/>
      <c r="W64" s="3"/>
      <c r="X64" s="3"/>
      <c r="Y64" s="3"/>
      <c r="Z64" s="3"/>
    </row>
    <row r="65" spans="1:26" ht="15.75" customHeight="1">
      <c r="A65" s="105">
        <v>68</v>
      </c>
      <c r="B65" s="105" t="s">
        <v>546</v>
      </c>
      <c r="C65" s="105" t="s">
        <v>685</v>
      </c>
      <c r="D65" s="105" t="s">
        <v>681</v>
      </c>
      <c r="E65" s="109">
        <v>2</v>
      </c>
      <c r="F65" s="109">
        <v>2</v>
      </c>
      <c r="G65" s="106">
        <v>1</v>
      </c>
      <c r="H65" s="106">
        <v>1</v>
      </c>
      <c r="I65" s="106">
        <v>1</v>
      </c>
      <c r="J65" s="110">
        <v>7</v>
      </c>
      <c r="K65" s="3"/>
      <c r="L65" s="3"/>
      <c r="M65" s="3"/>
      <c r="N65" s="3"/>
      <c r="O65" s="3"/>
      <c r="P65" s="3"/>
      <c r="Q65" s="3"/>
      <c r="R65" s="3"/>
      <c r="S65" s="3"/>
      <c r="T65" s="3"/>
      <c r="U65" s="3"/>
      <c r="V65" s="3"/>
      <c r="W65" s="3"/>
      <c r="X65" s="3"/>
      <c r="Y65" s="3"/>
      <c r="Z65" s="3"/>
    </row>
    <row r="66" spans="1:26" ht="15.75" customHeight="1">
      <c r="A66" s="108">
        <v>69</v>
      </c>
      <c r="B66" s="108" t="s">
        <v>546</v>
      </c>
      <c r="C66" s="108" t="s">
        <v>696</v>
      </c>
      <c r="D66" s="108" t="s">
        <v>694</v>
      </c>
      <c r="E66" s="109">
        <v>2</v>
      </c>
      <c r="F66" s="106">
        <v>1</v>
      </c>
      <c r="G66" s="109">
        <v>2</v>
      </c>
      <c r="H66" s="107">
        <v>0</v>
      </c>
      <c r="I66" s="109">
        <v>2</v>
      </c>
      <c r="J66" s="110">
        <v>7</v>
      </c>
      <c r="K66" s="3"/>
      <c r="L66" s="3"/>
      <c r="M66" s="3"/>
      <c r="N66" s="3"/>
      <c r="O66" s="3"/>
      <c r="P66" s="3"/>
      <c r="Q66" s="3"/>
      <c r="R66" s="3"/>
      <c r="S66" s="3"/>
      <c r="T66" s="3"/>
      <c r="U66" s="3"/>
      <c r="V66" s="3"/>
      <c r="W66" s="3"/>
      <c r="X66" s="3"/>
      <c r="Y66" s="3"/>
      <c r="Z66" s="3"/>
    </row>
    <row r="67" spans="1:26" ht="15.75" customHeight="1">
      <c r="A67" s="105">
        <v>70</v>
      </c>
      <c r="B67" s="105" t="s">
        <v>546</v>
      </c>
      <c r="C67" s="105" t="s">
        <v>705</v>
      </c>
      <c r="D67" s="105" t="s">
        <v>703</v>
      </c>
      <c r="E67" s="109">
        <v>2</v>
      </c>
      <c r="F67" s="109">
        <v>2</v>
      </c>
      <c r="G67" s="106">
        <v>1</v>
      </c>
      <c r="H67" s="109">
        <v>2</v>
      </c>
      <c r="I67" s="106">
        <v>1</v>
      </c>
      <c r="J67" s="110">
        <v>8</v>
      </c>
      <c r="K67" s="3"/>
      <c r="L67" s="3"/>
      <c r="M67" s="3"/>
      <c r="N67" s="3"/>
      <c r="O67" s="3"/>
      <c r="P67" s="3"/>
      <c r="Q67" s="3"/>
      <c r="R67" s="3"/>
      <c r="S67" s="3"/>
      <c r="T67" s="3"/>
      <c r="U67" s="3"/>
      <c r="V67" s="3"/>
      <c r="W67" s="3"/>
      <c r="X67" s="3"/>
      <c r="Y67" s="3"/>
      <c r="Z67" s="3"/>
    </row>
    <row r="68" spans="1:26" ht="15.75" customHeight="1">
      <c r="A68" s="108">
        <v>71</v>
      </c>
      <c r="B68" s="108" t="s">
        <v>546</v>
      </c>
      <c r="C68" s="108" t="s">
        <v>716</v>
      </c>
      <c r="D68" s="108" t="s">
        <v>713</v>
      </c>
      <c r="E68" s="109">
        <v>2</v>
      </c>
      <c r="F68" s="109">
        <v>2</v>
      </c>
      <c r="G68" s="109">
        <v>2</v>
      </c>
      <c r="H68" s="109">
        <v>2</v>
      </c>
      <c r="I68" s="109">
        <v>2</v>
      </c>
      <c r="J68" s="109">
        <v>10</v>
      </c>
      <c r="K68" s="3"/>
      <c r="L68" s="3"/>
      <c r="M68" s="3"/>
      <c r="N68" s="3"/>
      <c r="O68" s="3"/>
      <c r="P68" s="3"/>
      <c r="Q68" s="3"/>
      <c r="R68" s="3"/>
      <c r="S68" s="3"/>
      <c r="T68" s="3"/>
      <c r="U68" s="3"/>
      <c r="V68" s="3"/>
      <c r="W68" s="3"/>
      <c r="X68" s="3"/>
      <c r="Y68" s="3"/>
      <c r="Z68" s="3"/>
    </row>
    <row r="69" spans="1:26" ht="15.75" customHeight="1">
      <c r="A69" s="105">
        <v>72</v>
      </c>
      <c r="B69" s="105" t="s">
        <v>546</v>
      </c>
      <c r="C69" s="105" t="s">
        <v>727</v>
      </c>
      <c r="D69" s="105" t="s">
        <v>725</v>
      </c>
      <c r="E69" s="106">
        <v>1</v>
      </c>
      <c r="F69" s="109">
        <v>2</v>
      </c>
      <c r="G69" s="106">
        <v>1</v>
      </c>
      <c r="H69" s="106">
        <v>1</v>
      </c>
      <c r="I69" s="106">
        <v>1</v>
      </c>
      <c r="J69" s="106">
        <v>6</v>
      </c>
      <c r="K69" s="3"/>
      <c r="L69" s="3"/>
      <c r="M69" s="3"/>
      <c r="N69" s="3"/>
      <c r="O69" s="3"/>
      <c r="P69" s="3"/>
      <c r="Q69" s="3"/>
      <c r="R69" s="3"/>
      <c r="S69" s="3"/>
      <c r="T69" s="3"/>
      <c r="U69" s="3"/>
      <c r="V69" s="3"/>
      <c r="W69" s="3"/>
      <c r="X69" s="3"/>
      <c r="Y69" s="3"/>
      <c r="Z69" s="3"/>
    </row>
    <row r="70" spans="1:26" ht="15.75" customHeight="1">
      <c r="A70" s="108">
        <v>73</v>
      </c>
      <c r="B70" s="108" t="s">
        <v>546</v>
      </c>
      <c r="C70" s="108" t="s">
        <v>738</v>
      </c>
      <c r="D70" s="108" t="s">
        <v>735</v>
      </c>
      <c r="E70" s="109">
        <v>2</v>
      </c>
      <c r="F70" s="106">
        <v>1</v>
      </c>
      <c r="G70" s="109">
        <v>2</v>
      </c>
      <c r="H70" s="106">
        <v>1</v>
      </c>
      <c r="I70" s="109">
        <v>2</v>
      </c>
      <c r="J70" s="110">
        <v>8</v>
      </c>
      <c r="K70" s="3"/>
      <c r="L70" s="3"/>
      <c r="M70" s="3"/>
      <c r="N70" s="3"/>
      <c r="O70" s="3"/>
      <c r="P70" s="3"/>
      <c r="Q70" s="3"/>
      <c r="R70" s="3"/>
      <c r="S70" s="3"/>
      <c r="T70" s="3"/>
      <c r="U70" s="3"/>
      <c r="V70" s="3"/>
      <c r="W70" s="3"/>
      <c r="X70" s="3"/>
      <c r="Y70" s="3"/>
      <c r="Z70" s="3"/>
    </row>
    <row r="71" spans="1:26" ht="15.75" customHeight="1">
      <c r="A71" s="105">
        <v>75</v>
      </c>
      <c r="B71" s="105" t="s">
        <v>546</v>
      </c>
      <c r="C71" s="105" t="s">
        <v>755</v>
      </c>
      <c r="D71" s="105" t="s">
        <v>752</v>
      </c>
      <c r="E71" s="106">
        <v>1</v>
      </c>
      <c r="F71" s="109">
        <v>2</v>
      </c>
      <c r="G71" s="106">
        <v>1</v>
      </c>
      <c r="H71" s="109">
        <v>2</v>
      </c>
      <c r="I71" s="106">
        <v>1</v>
      </c>
      <c r="J71" s="110">
        <v>7</v>
      </c>
      <c r="K71" s="3"/>
      <c r="L71" s="3"/>
      <c r="M71" s="3"/>
      <c r="N71" s="3"/>
      <c r="O71" s="3"/>
      <c r="P71" s="3"/>
      <c r="Q71" s="3"/>
      <c r="R71" s="3"/>
      <c r="S71" s="3"/>
      <c r="T71" s="3"/>
      <c r="U71" s="3"/>
      <c r="V71" s="3"/>
      <c r="W71" s="3"/>
      <c r="X71" s="3"/>
      <c r="Y71" s="3"/>
      <c r="Z71" s="3"/>
    </row>
    <row r="72" spans="1:26" ht="15.75" customHeight="1">
      <c r="A72" s="108">
        <v>78</v>
      </c>
      <c r="B72" s="108" t="s">
        <v>546</v>
      </c>
      <c r="C72" s="108" t="s">
        <v>779</v>
      </c>
      <c r="D72" s="108" t="s">
        <v>777</v>
      </c>
      <c r="E72" s="109">
        <v>2</v>
      </c>
      <c r="F72" s="109">
        <v>2</v>
      </c>
      <c r="G72" s="106">
        <v>1</v>
      </c>
      <c r="H72" s="109">
        <v>2</v>
      </c>
      <c r="I72" s="106">
        <v>1</v>
      </c>
      <c r="J72" s="110">
        <v>8</v>
      </c>
      <c r="K72" s="3"/>
      <c r="L72" s="3"/>
      <c r="M72" s="3"/>
      <c r="N72" s="3"/>
      <c r="O72" s="3"/>
      <c r="P72" s="3"/>
      <c r="Q72" s="3"/>
      <c r="R72" s="3"/>
      <c r="S72" s="3"/>
      <c r="T72" s="3"/>
      <c r="U72" s="3"/>
      <c r="V72" s="3"/>
      <c r="W72" s="3"/>
      <c r="X72" s="3"/>
      <c r="Y72" s="3"/>
      <c r="Z72" s="3"/>
    </row>
    <row r="73" spans="1:26" ht="15.75" customHeight="1">
      <c r="A73" s="105">
        <v>79</v>
      </c>
      <c r="B73" s="105" t="s">
        <v>546</v>
      </c>
      <c r="C73" s="105" t="s">
        <v>603</v>
      </c>
      <c r="D73" s="105" t="s">
        <v>787</v>
      </c>
      <c r="E73" s="109">
        <v>2</v>
      </c>
      <c r="F73" s="109">
        <v>2</v>
      </c>
      <c r="G73" s="109">
        <v>2</v>
      </c>
      <c r="H73" s="109">
        <v>2</v>
      </c>
      <c r="I73" s="109">
        <v>2</v>
      </c>
      <c r="J73" s="109">
        <v>10</v>
      </c>
      <c r="K73" s="3"/>
      <c r="L73" s="3"/>
      <c r="M73" s="3"/>
      <c r="N73" s="3"/>
      <c r="O73" s="3"/>
      <c r="P73" s="3"/>
      <c r="Q73" s="3"/>
      <c r="R73" s="3"/>
      <c r="S73" s="3"/>
      <c r="T73" s="3"/>
      <c r="U73" s="3"/>
      <c r="V73" s="3"/>
      <c r="W73" s="3"/>
      <c r="X73" s="3"/>
      <c r="Y73" s="3"/>
      <c r="Z73" s="3"/>
    </row>
    <row r="74" spans="1:26" ht="15.75" customHeight="1">
      <c r="A74" s="108">
        <v>81</v>
      </c>
      <c r="B74" s="108" t="s">
        <v>546</v>
      </c>
      <c r="C74" s="108" t="s">
        <v>805</v>
      </c>
      <c r="D74" s="108" t="s">
        <v>803</v>
      </c>
      <c r="E74" s="106">
        <v>1</v>
      </c>
      <c r="F74" s="106">
        <v>1</v>
      </c>
      <c r="G74" s="106">
        <v>1</v>
      </c>
      <c r="H74" s="109">
        <v>2</v>
      </c>
      <c r="I74" s="106">
        <v>1</v>
      </c>
      <c r="J74" s="106">
        <v>6</v>
      </c>
      <c r="K74" s="3"/>
      <c r="L74" s="3"/>
      <c r="M74" s="3"/>
      <c r="N74" s="3"/>
      <c r="O74" s="3"/>
      <c r="P74" s="3"/>
      <c r="Q74" s="3"/>
      <c r="R74" s="3"/>
      <c r="S74" s="3"/>
      <c r="T74" s="3"/>
      <c r="U74" s="3"/>
      <c r="V74" s="3"/>
      <c r="W74" s="3"/>
      <c r="X74" s="3"/>
      <c r="Y74" s="3"/>
      <c r="Z74" s="3"/>
    </row>
    <row r="75" spans="1:26" ht="15.75" customHeight="1">
      <c r="A75" s="105">
        <v>82</v>
      </c>
      <c r="B75" s="105" t="s">
        <v>546</v>
      </c>
      <c r="C75" s="105" t="s">
        <v>815</v>
      </c>
      <c r="D75" s="105" t="s">
        <v>813</v>
      </c>
      <c r="E75" s="109">
        <v>2</v>
      </c>
      <c r="F75" s="109">
        <v>2</v>
      </c>
      <c r="G75" s="109">
        <v>2</v>
      </c>
      <c r="H75" s="107">
        <v>0</v>
      </c>
      <c r="I75" s="109">
        <v>2</v>
      </c>
      <c r="J75" s="110">
        <v>8</v>
      </c>
      <c r="K75" s="3"/>
      <c r="L75" s="3"/>
      <c r="M75" s="3"/>
      <c r="N75" s="3"/>
      <c r="O75" s="3"/>
      <c r="P75" s="3"/>
      <c r="Q75" s="3"/>
      <c r="R75" s="3"/>
      <c r="S75" s="3"/>
      <c r="T75" s="3"/>
      <c r="U75" s="3"/>
      <c r="V75" s="3"/>
      <c r="W75" s="3"/>
      <c r="X75" s="3"/>
      <c r="Y75" s="3"/>
      <c r="Z75" s="3"/>
    </row>
    <row r="76" spans="1:26" ht="15.75" customHeight="1">
      <c r="A76" s="108">
        <v>83</v>
      </c>
      <c r="B76" s="108" t="s">
        <v>546</v>
      </c>
      <c r="C76" s="108" t="s">
        <v>603</v>
      </c>
      <c r="D76" s="108" t="s">
        <v>822</v>
      </c>
      <c r="E76" s="106">
        <v>1</v>
      </c>
      <c r="F76" s="107">
        <v>0</v>
      </c>
      <c r="G76" s="106">
        <v>1</v>
      </c>
      <c r="H76" s="107">
        <v>0</v>
      </c>
      <c r="I76" s="106">
        <v>1</v>
      </c>
      <c r="J76" s="107">
        <v>3</v>
      </c>
      <c r="K76" s="3"/>
      <c r="L76" s="3"/>
      <c r="M76" s="3"/>
      <c r="N76" s="3"/>
      <c r="O76" s="3"/>
      <c r="P76" s="3"/>
      <c r="Q76" s="3"/>
      <c r="R76" s="3"/>
      <c r="S76" s="3"/>
      <c r="T76" s="3"/>
      <c r="U76" s="3"/>
      <c r="V76" s="3"/>
      <c r="W76" s="3"/>
      <c r="X76" s="3"/>
      <c r="Y76" s="3"/>
      <c r="Z76" s="3"/>
    </row>
    <row r="77" spans="1:26" ht="15.75" customHeight="1">
      <c r="A77" s="105">
        <v>84</v>
      </c>
      <c r="B77" s="105" t="s">
        <v>546</v>
      </c>
      <c r="C77" s="105" t="s">
        <v>830</v>
      </c>
      <c r="D77" s="105" t="s">
        <v>828</v>
      </c>
      <c r="E77" s="106">
        <v>1</v>
      </c>
      <c r="F77" s="106">
        <v>1</v>
      </c>
      <c r="G77" s="109">
        <v>2</v>
      </c>
      <c r="H77" s="106">
        <v>1</v>
      </c>
      <c r="I77" s="109">
        <v>2</v>
      </c>
      <c r="J77" s="110">
        <v>7</v>
      </c>
      <c r="K77" s="3"/>
      <c r="L77" s="3"/>
      <c r="M77" s="3"/>
      <c r="N77" s="3"/>
      <c r="O77" s="3"/>
      <c r="P77" s="3"/>
      <c r="Q77" s="3"/>
      <c r="R77" s="3"/>
      <c r="S77" s="3"/>
      <c r="T77" s="3"/>
      <c r="U77" s="3"/>
      <c r="V77" s="3"/>
      <c r="W77" s="3"/>
      <c r="X77" s="3"/>
      <c r="Y77" s="3"/>
      <c r="Z77" s="3"/>
    </row>
    <row r="78" spans="1:26" ht="15.75" customHeight="1">
      <c r="A78" s="108">
        <v>86</v>
      </c>
      <c r="B78" s="108" t="s">
        <v>546</v>
      </c>
      <c r="C78" s="108" t="s">
        <v>603</v>
      </c>
      <c r="D78" s="108" t="s">
        <v>842</v>
      </c>
      <c r="E78" s="106">
        <v>1</v>
      </c>
      <c r="F78" s="106">
        <v>1</v>
      </c>
      <c r="G78" s="106">
        <v>1</v>
      </c>
      <c r="H78" s="106">
        <v>1</v>
      </c>
      <c r="I78" s="106">
        <v>1</v>
      </c>
      <c r="J78" s="106">
        <v>5</v>
      </c>
      <c r="K78" s="3"/>
      <c r="L78" s="3"/>
      <c r="M78" s="3"/>
      <c r="N78" s="3"/>
      <c r="O78" s="3"/>
      <c r="P78" s="3"/>
      <c r="Q78" s="3"/>
      <c r="R78" s="3"/>
      <c r="S78" s="3"/>
      <c r="T78" s="3"/>
      <c r="U78" s="3"/>
      <c r="V78" s="3"/>
      <c r="W78" s="3"/>
      <c r="X78" s="3"/>
      <c r="Y78" s="3"/>
      <c r="Z78" s="3"/>
    </row>
    <row r="79" spans="1:26" ht="15.75" customHeight="1">
      <c r="A79" s="105">
        <v>87</v>
      </c>
      <c r="B79" s="105" t="s">
        <v>546</v>
      </c>
      <c r="C79" s="105" t="s">
        <v>603</v>
      </c>
      <c r="D79" s="105" t="s">
        <v>851</v>
      </c>
      <c r="E79" s="109">
        <v>2</v>
      </c>
      <c r="F79" s="109">
        <v>2</v>
      </c>
      <c r="G79" s="106">
        <v>1</v>
      </c>
      <c r="H79" s="109">
        <v>2</v>
      </c>
      <c r="I79" s="106">
        <v>1</v>
      </c>
      <c r="J79" s="110">
        <v>8</v>
      </c>
      <c r="K79" s="3"/>
      <c r="L79" s="3"/>
      <c r="M79" s="3"/>
      <c r="N79" s="3"/>
      <c r="O79" s="3"/>
      <c r="P79" s="3"/>
      <c r="Q79" s="3"/>
      <c r="R79" s="3"/>
      <c r="S79" s="3"/>
      <c r="T79" s="3"/>
      <c r="U79" s="3"/>
      <c r="V79" s="3"/>
      <c r="W79" s="3"/>
      <c r="X79" s="3"/>
      <c r="Y79" s="3"/>
      <c r="Z79" s="3"/>
    </row>
    <row r="80" spans="1:26" ht="15.75" customHeight="1">
      <c r="A80" s="108">
        <v>88</v>
      </c>
      <c r="B80" s="108" t="s">
        <v>546</v>
      </c>
      <c r="C80" s="108" t="s">
        <v>603</v>
      </c>
      <c r="D80" s="108" t="s">
        <v>860</v>
      </c>
      <c r="E80" s="106">
        <v>1</v>
      </c>
      <c r="F80" s="109">
        <v>2</v>
      </c>
      <c r="G80" s="106">
        <v>1</v>
      </c>
      <c r="H80" s="109">
        <v>2</v>
      </c>
      <c r="I80" s="106">
        <v>1</v>
      </c>
      <c r="J80" s="110">
        <v>7</v>
      </c>
      <c r="K80" s="3"/>
      <c r="L80" s="3"/>
      <c r="M80" s="3"/>
      <c r="N80" s="3"/>
      <c r="O80" s="3"/>
      <c r="P80" s="3"/>
      <c r="Q80" s="3"/>
      <c r="R80" s="3"/>
      <c r="S80" s="3"/>
      <c r="T80" s="3"/>
      <c r="U80" s="3"/>
      <c r="V80" s="3"/>
      <c r="W80" s="3"/>
      <c r="X80" s="3"/>
      <c r="Y80" s="3"/>
      <c r="Z80" s="3"/>
    </row>
    <row r="81" spans="1:26" ht="15.75" customHeight="1">
      <c r="A81" s="105"/>
      <c r="B81" s="105" t="s">
        <v>224</v>
      </c>
      <c r="C81" s="105" t="s">
        <v>871</v>
      </c>
      <c r="D81" s="105" t="s">
        <v>868</v>
      </c>
      <c r="E81" s="109">
        <v>2</v>
      </c>
      <c r="F81" s="107">
        <v>0</v>
      </c>
      <c r="G81" s="109">
        <v>2</v>
      </c>
      <c r="H81" s="107">
        <v>0</v>
      </c>
      <c r="I81" s="109">
        <v>2</v>
      </c>
      <c r="J81" s="106">
        <v>6</v>
      </c>
      <c r="K81" s="3"/>
      <c r="L81" s="3"/>
      <c r="M81" s="3"/>
      <c r="N81" s="3"/>
      <c r="O81" s="3"/>
      <c r="P81" s="3"/>
      <c r="Q81" s="3"/>
      <c r="R81" s="3"/>
      <c r="S81" s="3"/>
      <c r="T81" s="3"/>
      <c r="U81" s="3"/>
      <c r="V81" s="3"/>
      <c r="W81" s="3"/>
      <c r="X81" s="3"/>
      <c r="Y81" s="3"/>
      <c r="Z81" s="3"/>
    </row>
    <row r="82" spans="1:26" ht="15.75" customHeight="1">
      <c r="A82" s="108"/>
      <c r="B82" s="108" t="s">
        <v>224</v>
      </c>
      <c r="C82" s="108" t="s">
        <v>880</v>
      </c>
      <c r="D82" s="108" t="s">
        <v>878</v>
      </c>
      <c r="E82" s="109">
        <v>2</v>
      </c>
      <c r="F82" s="109">
        <v>2</v>
      </c>
      <c r="G82" s="107">
        <v>0</v>
      </c>
      <c r="H82" s="109">
        <v>2</v>
      </c>
      <c r="I82" s="106">
        <v>1</v>
      </c>
      <c r="J82" s="110">
        <v>7</v>
      </c>
      <c r="K82" s="3"/>
      <c r="L82" s="3"/>
      <c r="M82" s="3"/>
      <c r="N82" s="3"/>
      <c r="O82" s="3"/>
      <c r="P82" s="3"/>
      <c r="Q82" s="3"/>
      <c r="R82" s="3"/>
      <c r="S82" s="3"/>
      <c r="T82" s="3"/>
      <c r="U82" s="3"/>
      <c r="V82" s="3"/>
      <c r="W82" s="3"/>
      <c r="X82" s="3"/>
      <c r="Y82" s="3"/>
      <c r="Z82" s="3"/>
    </row>
    <row r="83" spans="1:26" ht="15.75" customHeight="1">
      <c r="A83" s="256"/>
      <c r="B83" s="256" t="s">
        <v>224</v>
      </c>
      <c r="C83" s="256" t="s">
        <v>892</v>
      </c>
      <c r="D83" s="256" t="s">
        <v>891</v>
      </c>
      <c r="E83" s="251">
        <v>2</v>
      </c>
      <c r="F83" s="251">
        <v>2</v>
      </c>
      <c r="G83" s="251">
        <v>2</v>
      </c>
      <c r="H83" s="253">
        <v>0</v>
      </c>
      <c r="I83" s="251">
        <v>2</v>
      </c>
      <c r="J83" s="254">
        <v>8</v>
      </c>
      <c r="K83" s="255"/>
      <c r="L83" s="255"/>
      <c r="M83" s="3"/>
      <c r="N83" s="3"/>
      <c r="O83" s="3"/>
      <c r="P83" s="3"/>
      <c r="Q83" s="3"/>
      <c r="R83" s="3"/>
      <c r="S83" s="3"/>
      <c r="T83" s="3"/>
      <c r="U83" s="3"/>
      <c r="V83" s="3"/>
      <c r="W83" s="3"/>
      <c r="X83" s="3"/>
      <c r="Y83" s="3"/>
      <c r="Z83" s="3"/>
    </row>
    <row r="84" spans="1:26" ht="15.75" customHeight="1">
      <c r="A84" s="108"/>
      <c r="B84" s="108" t="s">
        <v>224</v>
      </c>
      <c r="C84" s="108" t="s">
        <v>899</v>
      </c>
      <c r="D84" s="108" t="s">
        <v>897</v>
      </c>
      <c r="E84" s="106">
        <v>1</v>
      </c>
      <c r="F84" s="106">
        <v>1</v>
      </c>
      <c r="G84" s="109">
        <v>2</v>
      </c>
      <c r="H84" s="107">
        <v>0</v>
      </c>
      <c r="I84" s="109">
        <v>2</v>
      </c>
      <c r="J84" s="106">
        <v>6</v>
      </c>
      <c r="K84" s="3"/>
      <c r="L84" s="3"/>
      <c r="M84" s="3"/>
      <c r="N84" s="3"/>
      <c r="O84" s="3"/>
      <c r="P84" s="3"/>
      <c r="Q84" s="3"/>
      <c r="R84" s="3"/>
      <c r="S84" s="3"/>
      <c r="T84" s="3"/>
      <c r="U84" s="3"/>
      <c r="V84" s="3"/>
      <c r="W84" s="3"/>
      <c r="X84" s="3"/>
      <c r="Y84" s="3"/>
      <c r="Z84" s="3"/>
    </row>
    <row r="85" spans="1:26" ht="15.75" customHeight="1">
      <c r="A85" s="256"/>
      <c r="B85" s="256" t="s">
        <v>224</v>
      </c>
      <c r="C85" s="256" t="s">
        <v>906</v>
      </c>
      <c r="D85" s="256" t="s">
        <v>904</v>
      </c>
      <c r="E85" s="251">
        <v>2</v>
      </c>
      <c r="F85" s="252">
        <v>1</v>
      </c>
      <c r="G85" s="251">
        <v>2</v>
      </c>
      <c r="H85" s="253">
        <v>0</v>
      </c>
      <c r="I85" s="251">
        <v>2</v>
      </c>
      <c r="J85" s="254">
        <v>7</v>
      </c>
      <c r="K85" s="255"/>
      <c r="L85" s="255"/>
      <c r="M85" s="3"/>
      <c r="N85" s="3"/>
      <c r="O85" s="3"/>
      <c r="P85" s="3"/>
      <c r="Q85" s="3"/>
      <c r="R85" s="3"/>
      <c r="S85" s="3"/>
      <c r="T85" s="3"/>
      <c r="U85" s="3"/>
      <c r="V85" s="3"/>
      <c r="W85" s="3"/>
      <c r="X85" s="3"/>
      <c r="Y85" s="3"/>
      <c r="Z85" s="3"/>
    </row>
    <row r="86" spans="1:26" ht="15.75" customHeight="1">
      <c r="A86" s="108"/>
      <c r="B86" s="108" t="s">
        <v>224</v>
      </c>
      <c r="C86" s="108" t="s">
        <v>913</v>
      </c>
      <c r="D86" s="108" t="s">
        <v>910</v>
      </c>
      <c r="E86" s="109">
        <v>2</v>
      </c>
      <c r="F86" s="106">
        <v>1</v>
      </c>
      <c r="G86" s="109">
        <v>2</v>
      </c>
      <c r="H86" s="107">
        <v>0</v>
      </c>
      <c r="I86" s="109">
        <v>2</v>
      </c>
      <c r="J86" s="110">
        <v>7</v>
      </c>
      <c r="K86" s="3"/>
      <c r="L86" s="3"/>
      <c r="M86" s="3"/>
      <c r="N86" s="3"/>
      <c r="O86" s="3"/>
      <c r="P86" s="3"/>
      <c r="Q86" s="3"/>
      <c r="R86" s="3"/>
      <c r="S86" s="3"/>
      <c r="T86" s="3"/>
      <c r="U86" s="3"/>
      <c r="V86" s="3"/>
      <c r="W86" s="3"/>
      <c r="X86" s="3"/>
      <c r="Y86" s="3"/>
      <c r="Z86" s="3"/>
    </row>
    <row r="87" spans="1:26" ht="15.75" customHeight="1">
      <c r="A87" s="105"/>
      <c r="B87" s="105" t="s">
        <v>224</v>
      </c>
      <c r="C87" s="105" t="s">
        <v>923</v>
      </c>
      <c r="D87" s="105" t="s">
        <v>920</v>
      </c>
      <c r="E87" s="109">
        <v>2</v>
      </c>
      <c r="F87" s="106">
        <v>1</v>
      </c>
      <c r="G87" s="109">
        <v>2</v>
      </c>
      <c r="H87" s="107">
        <v>0</v>
      </c>
      <c r="I87" s="109">
        <v>2</v>
      </c>
      <c r="J87" s="110">
        <v>7</v>
      </c>
      <c r="K87" s="3"/>
      <c r="L87" s="3"/>
      <c r="M87" s="3"/>
      <c r="N87" s="3"/>
      <c r="O87" s="3"/>
      <c r="P87" s="3"/>
      <c r="Q87" s="3"/>
      <c r="R87" s="3"/>
      <c r="S87" s="3"/>
      <c r="T87" s="3"/>
      <c r="U87" s="3"/>
      <c r="V87" s="3"/>
      <c r="W87" s="3"/>
      <c r="X87" s="3"/>
      <c r="Y87" s="3"/>
      <c r="Z87" s="3"/>
    </row>
    <row r="88" spans="1:26" ht="15.75" customHeight="1">
      <c r="A88" s="108"/>
      <c r="B88" s="108" t="s">
        <v>224</v>
      </c>
      <c r="C88" s="108" t="s">
        <v>932</v>
      </c>
      <c r="D88" s="108" t="s">
        <v>929</v>
      </c>
      <c r="E88" s="109">
        <v>2</v>
      </c>
      <c r="F88" s="109">
        <v>2</v>
      </c>
      <c r="G88" s="109">
        <v>2</v>
      </c>
      <c r="H88" s="107">
        <v>0</v>
      </c>
      <c r="I88" s="109">
        <v>2</v>
      </c>
      <c r="J88" s="110">
        <v>8</v>
      </c>
      <c r="K88" s="3"/>
      <c r="L88" s="3"/>
      <c r="M88" s="3"/>
      <c r="N88" s="3"/>
      <c r="O88" s="3"/>
      <c r="P88" s="3"/>
      <c r="Q88" s="3"/>
      <c r="R88" s="3"/>
      <c r="S88" s="3"/>
      <c r="T88" s="3"/>
      <c r="U88" s="3"/>
      <c r="V88" s="3"/>
      <c r="W88" s="3"/>
      <c r="X88" s="3"/>
      <c r="Y88" s="3"/>
      <c r="Z88" s="3"/>
    </row>
    <row r="89" spans="1:26" ht="15.75" customHeight="1">
      <c r="A89" s="105"/>
      <c r="B89" s="105" t="s">
        <v>224</v>
      </c>
      <c r="C89" s="105" t="s">
        <v>941</v>
      </c>
      <c r="D89" s="105" t="s">
        <v>938</v>
      </c>
      <c r="E89" s="109">
        <v>2</v>
      </c>
      <c r="F89" s="106">
        <v>1</v>
      </c>
      <c r="G89" s="109">
        <v>2</v>
      </c>
      <c r="H89" s="107">
        <v>0</v>
      </c>
      <c r="I89" s="109">
        <v>2</v>
      </c>
      <c r="J89" s="110">
        <v>7</v>
      </c>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9.5" customHeight="1">
      <c r="A91" s="292" t="s">
        <v>1160</v>
      </c>
      <c r="B91" s="293" t="s">
        <v>1478</v>
      </c>
      <c r="C91" s="293" t="s">
        <v>1161</v>
      </c>
      <c r="D91" s="293" t="s">
        <v>1162</v>
      </c>
      <c r="E91" s="293" t="s">
        <v>1163</v>
      </c>
      <c r="F91" s="294" t="s">
        <v>1479</v>
      </c>
      <c r="G91" s="295" t="s">
        <v>1480</v>
      </c>
      <c r="H91" s="296" t="s">
        <v>1481</v>
      </c>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 customHeight="1">
      <c r="A93" s="111" t="s">
        <v>1164</v>
      </c>
      <c r="B93" s="3"/>
      <c r="C93" s="3"/>
      <c r="D93" s="3"/>
      <c r="E93" s="3"/>
      <c r="F93" s="3"/>
      <c r="G93" s="3"/>
      <c r="H93" s="3"/>
      <c r="I93" s="3"/>
      <c r="J93" s="3"/>
      <c r="K93" s="3"/>
      <c r="L93" s="3"/>
      <c r="M93" s="3"/>
      <c r="N93" s="3"/>
      <c r="O93" s="3"/>
      <c r="P93" s="3"/>
      <c r="Q93" s="3"/>
      <c r="R93" s="3"/>
      <c r="S93" s="3"/>
      <c r="T93" s="3"/>
      <c r="U93" s="3"/>
      <c r="V93" s="3"/>
      <c r="W93" s="3"/>
      <c r="X93" s="3"/>
      <c r="Y93" s="3"/>
      <c r="Z93" s="3"/>
    </row>
    <row r="94" spans="1:26" ht="15" customHeight="1">
      <c r="A94" s="112" t="s">
        <v>1165</v>
      </c>
      <c r="B94" s="3"/>
      <c r="C94" s="3"/>
      <c r="D94" s="3"/>
      <c r="E94" s="3"/>
      <c r="F94" s="3"/>
      <c r="G94" s="3"/>
      <c r="H94" s="3"/>
      <c r="I94" s="3"/>
      <c r="J94" s="3"/>
      <c r="K94" s="3"/>
      <c r="L94" s="3"/>
      <c r="M94" s="3"/>
      <c r="N94" s="3"/>
      <c r="O94" s="3"/>
      <c r="P94" s="3"/>
      <c r="Q94" s="3"/>
      <c r="R94" s="3"/>
      <c r="S94" s="3"/>
      <c r="T94" s="3"/>
      <c r="U94" s="3"/>
      <c r="V94" s="3"/>
      <c r="W94" s="3"/>
      <c r="X94" s="3"/>
      <c r="Y94" s="3"/>
      <c r="Z94" s="3"/>
    </row>
    <row r="95" spans="1:26" ht="15" customHeight="1">
      <c r="A95" s="113" t="s">
        <v>1166</v>
      </c>
      <c r="B95" s="3"/>
      <c r="C95" s="3"/>
      <c r="D95" s="3"/>
      <c r="E95" s="3"/>
      <c r="F95" s="3"/>
      <c r="G95" s="3"/>
      <c r="H95" s="3"/>
      <c r="I95" s="3"/>
      <c r="J95" s="3"/>
      <c r="K95" s="3"/>
      <c r="L95" s="3"/>
      <c r="M95" s="3"/>
      <c r="N95" s="3"/>
      <c r="O95" s="3"/>
      <c r="P95" s="3"/>
      <c r="Q95" s="3"/>
      <c r="R95" s="3"/>
      <c r="S95" s="3"/>
      <c r="T95" s="3"/>
      <c r="U95" s="3"/>
      <c r="V95" s="3"/>
      <c r="W95" s="3"/>
      <c r="X95" s="3"/>
      <c r="Y95" s="3"/>
      <c r="Z95" s="3"/>
    </row>
    <row r="96" spans="1:26" ht="15" customHeight="1">
      <c r="A96" s="114" t="s">
        <v>1167</v>
      </c>
      <c r="B96" s="3"/>
      <c r="C96" s="3"/>
      <c r="D96" s="3"/>
      <c r="E96" s="3"/>
      <c r="F96" s="3"/>
      <c r="G96" s="3"/>
      <c r="H96" s="3"/>
      <c r="I96" s="3"/>
      <c r="J96" s="3"/>
      <c r="K96" s="3"/>
      <c r="L96" s="3"/>
      <c r="M96" s="3"/>
      <c r="N96" s="3"/>
      <c r="O96" s="3"/>
      <c r="P96" s="3"/>
      <c r="Q96" s="3"/>
      <c r="R96" s="3"/>
      <c r="S96" s="3"/>
      <c r="T96" s="3"/>
      <c r="U96" s="3"/>
      <c r="V96" s="3"/>
      <c r="W96" s="3"/>
      <c r="X96" s="3"/>
      <c r="Y96" s="3"/>
      <c r="Z96" s="3"/>
    </row>
    <row r="97" spans="1:26" ht="15" customHeight="1">
      <c r="A97" s="112" t="s">
        <v>1168</v>
      </c>
      <c r="B97" s="3"/>
      <c r="C97" s="3"/>
      <c r="D97" s="3"/>
      <c r="E97" s="3"/>
      <c r="F97" s="3"/>
      <c r="G97" s="3"/>
      <c r="H97" s="3"/>
      <c r="I97" s="3"/>
      <c r="J97" s="3"/>
      <c r="K97" s="3"/>
      <c r="L97" s="3"/>
      <c r="M97" s="3"/>
      <c r="N97" s="3"/>
      <c r="O97" s="3"/>
      <c r="P97" s="3"/>
      <c r="Q97" s="3"/>
      <c r="R97" s="3"/>
      <c r="S97" s="3"/>
      <c r="T97" s="3"/>
      <c r="U97" s="3"/>
      <c r="V97" s="3"/>
      <c r="W97" s="3"/>
      <c r="X97" s="3"/>
      <c r="Y97" s="3"/>
      <c r="Z97" s="3"/>
    </row>
    <row r="98" spans="1:26" ht="15" customHeight="1">
      <c r="A98" s="113" t="s">
        <v>1169</v>
      </c>
      <c r="B98" s="3"/>
      <c r="C98" s="3"/>
      <c r="D98" s="3"/>
      <c r="E98" s="3"/>
      <c r="F98" s="3"/>
      <c r="G98" s="3"/>
      <c r="H98" s="3"/>
      <c r="I98" s="3"/>
      <c r="J98" s="3"/>
      <c r="K98" s="3"/>
      <c r="L98" s="3"/>
      <c r="M98" s="3"/>
      <c r="N98" s="3"/>
      <c r="O98" s="3"/>
      <c r="P98" s="3"/>
      <c r="Q98" s="3"/>
      <c r="R98" s="3"/>
      <c r="S98" s="3"/>
      <c r="T98" s="3"/>
      <c r="U98" s="3"/>
      <c r="V98" s="3"/>
      <c r="W98" s="3"/>
      <c r="X98" s="3"/>
      <c r="Y98" s="3"/>
      <c r="Z98" s="3"/>
    </row>
    <row r="99" spans="1:26" ht="15" customHeight="1">
      <c r="A99" s="115" t="s">
        <v>1170</v>
      </c>
      <c r="B99" s="3"/>
      <c r="C99" s="3"/>
      <c r="D99" s="3"/>
      <c r="E99" s="3"/>
      <c r="F99" s="3"/>
      <c r="G99" s="3"/>
      <c r="H99" s="3"/>
      <c r="I99" s="3"/>
      <c r="J99" s="3"/>
      <c r="K99" s="3"/>
      <c r="L99" s="3"/>
      <c r="M99" s="3"/>
      <c r="N99" s="3"/>
      <c r="O99" s="3"/>
      <c r="P99" s="3"/>
      <c r="Q99" s="3"/>
      <c r="R99" s="3"/>
      <c r="S99" s="3"/>
      <c r="T99" s="3"/>
      <c r="U99" s="3"/>
      <c r="V99" s="3"/>
      <c r="W99" s="3"/>
      <c r="X99" s="3"/>
      <c r="Y99" s="3"/>
      <c r="Z99" s="3"/>
    </row>
    <row r="100" spans="1:26" ht="15" customHeight="1">
      <c r="A100" s="114" t="s">
        <v>1171</v>
      </c>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J1"/>
    <mergeCell ref="A2:J2"/>
    <mergeCell ref="A3:D3"/>
  </mergeCell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000"/>
  <sheetViews>
    <sheetView workbookViewId="0">
      <pane ySplit="4" topLeftCell="A5" activePane="bottomLeft" state="frozen"/>
      <selection pane="bottomLeft" activeCell="B6" sqref="B6"/>
    </sheetView>
  </sheetViews>
  <sheetFormatPr defaultColWidth="14.42578125" defaultRowHeight="15" customHeight="1"/>
  <cols>
    <col min="1" max="1" width="7" customWidth="1"/>
    <col min="2" max="2" width="30.140625" customWidth="1"/>
    <col min="3" max="3" width="36" customWidth="1"/>
    <col min="4" max="4" width="55" customWidth="1"/>
    <col min="5" max="5" width="30" customWidth="1"/>
    <col min="6" max="6" width="14" customWidth="1"/>
    <col min="7" max="12" width="8.7109375" customWidth="1"/>
    <col min="13" max="13" width="34" customWidth="1"/>
    <col min="14" max="15" width="13.85546875" customWidth="1"/>
    <col min="16" max="26" width="8.7109375" customWidth="1"/>
  </cols>
  <sheetData>
    <row r="1" spans="1:15" ht="27.75" customHeight="1">
      <c r="A1" s="371"/>
      <c r="B1" s="353"/>
      <c r="C1" s="353"/>
      <c r="D1" s="353"/>
      <c r="E1" s="353"/>
      <c r="F1" s="354"/>
      <c r="H1" t="s">
        <v>1353</v>
      </c>
    </row>
    <row r="2" spans="1:15" ht="21.75" customHeight="1">
      <c r="A2" s="372" t="s">
        <v>1172</v>
      </c>
      <c r="B2" s="353"/>
      <c r="C2" s="353"/>
      <c r="D2" s="353"/>
      <c r="E2" s="353"/>
      <c r="F2" s="354"/>
    </row>
    <row r="3" spans="1:15" ht="13.5" customHeight="1">
      <c r="A3" s="373" t="s">
        <v>1173</v>
      </c>
      <c r="B3" s="365"/>
      <c r="C3" s="365"/>
      <c r="D3" s="365"/>
      <c r="E3" s="365"/>
      <c r="F3" s="370"/>
      <c r="G3" s="3" t="s">
        <v>1174</v>
      </c>
    </row>
    <row r="4" spans="1:15" ht="30" customHeight="1">
      <c r="A4" s="116" t="s">
        <v>0</v>
      </c>
      <c r="B4" s="116" t="s">
        <v>1</v>
      </c>
      <c r="C4" s="116" t="s">
        <v>8</v>
      </c>
      <c r="D4" s="116" t="s">
        <v>9</v>
      </c>
      <c r="E4" s="116" t="s">
        <v>1175</v>
      </c>
      <c r="F4" s="116" t="s">
        <v>1176</v>
      </c>
    </row>
    <row r="5" spans="1:15" ht="27.75" customHeight="1">
      <c r="A5" s="117">
        <v>1</v>
      </c>
      <c r="B5" s="117" t="s">
        <v>18</v>
      </c>
      <c r="C5" s="118" t="s">
        <v>23</v>
      </c>
      <c r="D5" s="118" t="s">
        <v>24</v>
      </c>
      <c r="E5" s="119" t="s">
        <v>1177</v>
      </c>
      <c r="F5" s="120">
        <v>5</v>
      </c>
    </row>
    <row r="6" spans="1:15" ht="27.75" customHeight="1">
      <c r="A6" s="121">
        <v>2</v>
      </c>
      <c r="B6" s="121" t="s">
        <v>18</v>
      </c>
      <c r="C6" s="122" t="s">
        <v>36</v>
      </c>
      <c r="D6" s="122" t="s">
        <v>37</v>
      </c>
      <c r="E6" s="123" t="s">
        <v>1178</v>
      </c>
      <c r="F6" s="124">
        <v>2</v>
      </c>
    </row>
    <row r="7" spans="1:15" ht="27.75" customHeight="1">
      <c r="A7" s="117">
        <v>3</v>
      </c>
      <c r="B7" s="117" t="s">
        <v>18</v>
      </c>
      <c r="C7" s="125" t="s">
        <v>1179</v>
      </c>
      <c r="D7" s="118" t="s">
        <v>45</v>
      </c>
      <c r="E7" s="126" t="s">
        <v>1180</v>
      </c>
      <c r="F7" s="127">
        <v>6</v>
      </c>
      <c r="M7" s="128" t="s">
        <v>1175</v>
      </c>
      <c r="N7" s="128" t="s">
        <v>1181</v>
      </c>
      <c r="O7" s="128" t="s">
        <v>1144</v>
      </c>
    </row>
    <row r="8" spans="1:15" ht="27.75" customHeight="1">
      <c r="A8" s="121">
        <v>4</v>
      </c>
      <c r="B8" s="121" t="s">
        <v>18</v>
      </c>
      <c r="C8" s="122" t="s">
        <v>53</v>
      </c>
      <c r="D8" s="129" t="s">
        <v>1182</v>
      </c>
      <c r="E8" s="130" t="s">
        <v>1174</v>
      </c>
      <c r="F8" s="131">
        <v>7</v>
      </c>
      <c r="M8" s="132" t="s">
        <v>1183</v>
      </c>
      <c r="N8" s="133">
        <v>12</v>
      </c>
      <c r="O8" s="133" t="s">
        <v>1184</v>
      </c>
    </row>
    <row r="9" spans="1:15" ht="27.75" customHeight="1">
      <c r="A9" s="117">
        <v>5</v>
      </c>
      <c r="B9" s="117" t="s">
        <v>18</v>
      </c>
      <c r="C9" s="118" t="s">
        <v>61</v>
      </c>
      <c r="D9" s="125" t="s">
        <v>1185</v>
      </c>
      <c r="E9" s="123" t="s">
        <v>1178</v>
      </c>
      <c r="F9" s="124">
        <v>2</v>
      </c>
      <c r="M9" s="134" t="s">
        <v>1178</v>
      </c>
      <c r="N9" s="135">
        <v>9</v>
      </c>
      <c r="O9" s="135" t="s">
        <v>1186</v>
      </c>
    </row>
    <row r="10" spans="1:15" ht="27.75" customHeight="1">
      <c r="A10" s="121">
        <v>6</v>
      </c>
      <c r="B10" s="121" t="s">
        <v>18</v>
      </c>
      <c r="C10" s="122" t="s">
        <v>70</v>
      </c>
      <c r="D10" s="129" t="s">
        <v>1187</v>
      </c>
      <c r="E10" s="130" t="s">
        <v>1174</v>
      </c>
      <c r="F10" s="131">
        <v>7</v>
      </c>
      <c r="M10" s="136" t="s">
        <v>1188</v>
      </c>
      <c r="N10" s="137">
        <v>5</v>
      </c>
      <c r="O10" s="137" t="s">
        <v>1189</v>
      </c>
    </row>
    <row r="11" spans="1:15" ht="27.75" customHeight="1">
      <c r="A11" s="117">
        <v>7</v>
      </c>
      <c r="B11" s="117" t="s">
        <v>18</v>
      </c>
      <c r="C11" s="118" t="s">
        <v>81</v>
      </c>
      <c r="D11" s="125" t="s">
        <v>1190</v>
      </c>
      <c r="E11" s="130" t="s">
        <v>1174</v>
      </c>
      <c r="F11" s="131">
        <v>7</v>
      </c>
      <c r="M11" s="138" t="s">
        <v>1177</v>
      </c>
      <c r="N11" s="139">
        <v>3</v>
      </c>
      <c r="O11" s="139" t="s">
        <v>1191</v>
      </c>
    </row>
    <row r="12" spans="1:15" ht="27.75" customHeight="1">
      <c r="A12" s="121">
        <v>8</v>
      </c>
      <c r="B12" s="121" t="s">
        <v>18</v>
      </c>
      <c r="C12" s="122" t="s">
        <v>92</v>
      </c>
      <c r="D12" s="122" t="s">
        <v>93</v>
      </c>
      <c r="E12" s="130" t="s">
        <v>1174</v>
      </c>
      <c r="F12" s="131">
        <v>7</v>
      </c>
      <c r="M12" s="140" t="s">
        <v>1180</v>
      </c>
      <c r="N12" s="141">
        <v>13</v>
      </c>
      <c r="O12" s="141" t="s">
        <v>1192</v>
      </c>
    </row>
    <row r="13" spans="1:15" ht="27.75" customHeight="1">
      <c r="A13" s="117">
        <v>9</v>
      </c>
      <c r="B13" s="117" t="s">
        <v>18</v>
      </c>
      <c r="C13" s="118" t="s">
        <v>101</v>
      </c>
      <c r="D13" s="118" t="s">
        <v>102</v>
      </c>
      <c r="E13" s="130" t="s">
        <v>1174</v>
      </c>
      <c r="F13" s="131">
        <v>7</v>
      </c>
      <c r="M13" s="142" t="s">
        <v>1193</v>
      </c>
      <c r="N13" s="143">
        <v>22</v>
      </c>
      <c r="O13" s="143" t="s">
        <v>1194</v>
      </c>
    </row>
    <row r="14" spans="1:15" ht="27.75" customHeight="1">
      <c r="A14" s="121">
        <v>10</v>
      </c>
      <c r="B14" s="121" t="s">
        <v>18</v>
      </c>
      <c r="C14" s="122" t="s">
        <v>111</v>
      </c>
      <c r="D14" s="129" t="s">
        <v>1195</v>
      </c>
      <c r="E14" s="144" t="s">
        <v>1183</v>
      </c>
      <c r="F14" s="145">
        <v>1</v>
      </c>
      <c r="M14" s="146" t="s">
        <v>1174</v>
      </c>
      <c r="N14" s="147">
        <v>21</v>
      </c>
      <c r="O14" s="147" t="s">
        <v>1196</v>
      </c>
    </row>
    <row r="15" spans="1:15" ht="27.75" customHeight="1">
      <c r="A15" s="117">
        <v>11</v>
      </c>
      <c r="B15" s="117" t="s">
        <v>18</v>
      </c>
      <c r="C15" s="118" t="s">
        <v>122</v>
      </c>
      <c r="D15" s="118" t="s">
        <v>123</v>
      </c>
      <c r="E15" s="144" t="s">
        <v>1183</v>
      </c>
      <c r="F15" s="145">
        <v>1</v>
      </c>
    </row>
    <row r="16" spans="1:15" ht="27.75" customHeight="1">
      <c r="A16" s="121">
        <v>12</v>
      </c>
      <c r="B16" s="121" t="s">
        <v>18</v>
      </c>
      <c r="C16" s="122" t="s">
        <v>133</v>
      </c>
      <c r="D16" s="122" t="s">
        <v>134</v>
      </c>
      <c r="E16" s="148" t="s">
        <v>1193</v>
      </c>
      <c r="F16" s="149">
        <v>3</v>
      </c>
    </row>
    <row r="17" spans="1:6" ht="27.75" customHeight="1">
      <c r="A17" s="117">
        <v>13</v>
      </c>
      <c r="B17" s="117" t="s">
        <v>18</v>
      </c>
      <c r="C17" s="125" t="s">
        <v>1197</v>
      </c>
      <c r="D17" s="125" t="s">
        <v>1198</v>
      </c>
      <c r="E17" s="148" t="s">
        <v>1193</v>
      </c>
      <c r="F17" s="149">
        <v>3</v>
      </c>
    </row>
    <row r="18" spans="1:6" ht="27.75" customHeight="1">
      <c r="A18" s="121">
        <v>14</v>
      </c>
      <c r="B18" s="121" t="s">
        <v>18</v>
      </c>
      <c r="C18" s="122" t="s">
        <v>154</v>
      </c>
      <c r="D18" s="122" t="s">
        <v>155</v>
      </c>
      <c r="E18" s="148" t="s">
        <v>1193</v>
      </c>
      <c r="F18" s="149">
        <v>3</v>
      </c>
    </row>
    <row r="19" spans="1:6" ht="27.75" customHeight="1">
      <c r="A19" s="150">
        <v>15</v>
      </c>
      <c r="B19" s="150" t="s">
        <v>18</v>
      </c>
      <c r="C19" s="151" t="s">
        <v>166</v>
      </c>
      <c r="D19" s="151" t="s">
        <v>167</v>
      </c>
      <c r="E19" s="152" t="s">
        <v>1199</v>
      </c>
      <c r="F19" s="153">
        <v>4</v>
      </c>
    </row>
    <row r="20" spans="1:6" ht="27.75" customHeight="1">
      <c r="A20" s="121">
        <v>16</v>
      </c>
      <c r="B20" s="121" t="s">
        <v>18</v>
      </c>
      <c r="C20" s="129" t="s">
        <v>1200</v>
      </c>
      <c r="D20" s="129" t="s">
        <v>1201</v>
      </c>
      <c r="E20" s="130" t="s">
        <v>1174</v>
      </c>
      <c r="F20" s="131">
        <v>7</v>
      </c>
    </row>
    <row r="21" spans="1:6" ht="27.75" customHeight="1">
      <c r="A21" s="117">
        <v>17</v>
      </c>
      <c r="B21" s="117" t="s">
        <v>18</v>
      </c>
      <c r="C21" s="125" t="s">
        <v>1202</v>
      </c>
      <c r="D21" s="118" t="s">
        <v>188</v>
      </c>
      <c r="E21" s="130" t="s">
        <v>1174</v>
      </c>
      <c r="F21" s="131">
        <v>7</v>
      </c>
    </row>
    <row r="22" spans="1:6" ht="27.75" customHeight="1">
      <c r="A22" s="154">
        <v>18</v>
      </c>
      <c r="B22" s="154" t="s">
        <v>18</v>
      </c>
      <c r="C22" s="155" t="s">
        <v>198</v>
      </c>
      <c r="D22" s="155" t="s">
        <v>199</v>
      </c>
      <c r="E22" s="152" t="s">
        <v>1199</v>
      </c>
      <c r="F22" s="153">
        <v>4</v>
      </c>
    </row>
    <row r="23" spans="1:6" ht="27.75" customHeight="1">
      <c r="A23" s="117">
        <v>19</v>
      </c>
      <c r="B23" s="117" t="s">
        <v>18</v>
      </c>
      <c r="C23" s="125" t="s">
        <v>1203</v>
      </c>
      <c r="D23" s="125" t="s">
        <v>1204</v>
      </c>
      <c r="E23" s="148" t="s">
        <v>1193</v>
      </c>
      <c r="F23" s="149">
        <v>3</v>
      </c>
    </row>
    <row r="24" spans="1:6" ht="27.75" customHeight="1">
      <c r="A24" s="121">
        <v>20</v>
      </c>
      <c r="B24" s="121" t="s">
        <v>18</v>
      </c>
      <c r="C24" s="122" t="s">
        <v>218</v>
      </c>
      <c r="D24" s="122" t="s">
        <v>219</v>
      </c>
      <c r="E24" s="130" t="s">
        <v>1174</v>
      </c>
      <c r="F24" s="131">
        <v>7</v>
      </c>
    </row>
    <row r="25" spans="1:6" ht="27.75" customHeight="1">
      <c r="A25" s="150">
        <v>21</v>
      </c>
      <c r="B25" s="150" t="s">
        <v>18</v>
      </c>
      <c r="C25" s="156" t="s">
        <v>1205</v>
      </c>
      <c r="D25" s="156" t="s">
        <v>1206</v>
      </c>
      <c r="E25" s="152" t="s">
        <v>1199</v>
      </c>
      <c r="F25" s="153">
        <v>4</v>
      </c>
    </row>
    <row r="26" spans="1:6" ht="27.75" customHeight="1">
      <c r="A26" s="154">
        <v>22</v>
      </c>
      <c r="B26" s="154" t="s">
        <v>18</v>
      </c>
      <c r="C26" s="157" t="s">
        <v>1207</v>
      </c>
      <c r="D26" s="155" t="s">
        <v>239</v>
      </c>
      <c r="E26" s="152" t="s">
        <v>1199</v>
      </c>
      <c r="F26" s="153">
        <v>4</v>
      </c>
    </row>
    <row r="27" spans="1:6" ht="27.75" customHeight="1">
      <c r="A27" s="117">
        <v>23</v>
      </c>
      <c r="B27" s="117" t="s">
        <v>18</v>
      </c>
      <c r="C27" s="125" t="s">
        <v>1208</v>
      </c>
      <c r="D27" s="118" t="s">
        <v>249</v>
      </c>
      <c r="E27" s="148" t="s">
        <v>1193</v>
      </c>
      <c r="F27" s="149">
        <v>3</v>
      </c>
    </row>
    <row r="28" spans="1:6" ht="27.75" customHeight="1">
      <c r="A28" s="121">
        <v>24</v>
      </c>
      <c r="B28" s="121" t="s">
        <v>18</v>
      </c>
      <c r="C28" s="122" t="s">
        <v>258</v>
      </c>
      <c r="D28" s="122" t="s">
        <v>259</v>
      </c>
      <c r="E28" s="130" t="s">
        <v>1174</v>
      </c>
      <c r="F28" s="131">
        <v>7</v>
      </c>
    </row>
    <row r="29" spans="1:6" ht="27.75" customHeight="1">
      <c r="A29" s="117">
        <v>25</v>
      </c>
      <c r="B29" s="117" t="s">
        <v>18</v>
      </c>
      <c r="C29" s="125" t="s">
        <v>1209</v>
      </c>
      <c r="D29" s="125" t="s">
        <v>1210</v>
      </c>
      <c r="E29" s="148" t="s">
        <v>1193</v>
      </c>
      <c r="F29" s="149">
        <v>3</v>
      </c>
    </row>
    <row r="30" spans="1:6" ht="27.75" customHeight="1">
      <c r="A30" s="121">
        <v>26</v>
      </c>
      <c r="B30" s="121" t="s">
        <v>18</v>
      </c>
      <c r="C30" s="129" t="s">
        <v>1211</v>
      </c>
      <c r="D30" s="129" t="s">
        <v>1212</v>
      </c>
      <c r="E30" s="144" t="s">
        <v>1183</v>
      </c>
      <c r="F30" s="145">
        <v>1</v>
      </c>
    </row>
    <row r="31" spans="1:6" ht="27.75" customHeight="1">
      <c r="A31" s="117">
        <v>27</v>
      </c>
      <c r="B31" s="117" t="s">
        <v>18</v>
      </c>
      <c r="C31" s="118" t="s">
        <v>289</v>
      </c>
      <c r="D31" s="118" t="s">
        <v>290</v>
      </c>
      <c r="E31" s="148" t="s">
        <v>1193</v>
      </c>
      <c r="F31" s="149">
        <v>3</v>
      </c>
    </row>
    <row r="32" spans="1:6" ht="27.75" customHeight="1">
      <c r="A32" s="121">
        <v>28</v>
      </c>
      <c r="B32" s="121" t="s">
        <v>18</v>
      </c>
      <c r="C32" s="122" t="s">
        <v>301</v>
      </c>
      <c r="D32" s="129" t="s">
        <v>1213</v>
      </c>
      <c r="E32" s="148" t="s">
        <v>1193</v>
      </c>
      <c r="F32" s="149">
        <v>3</v>
      </c>
    </row>
    <row r="33" spans="1:15" ht="27.75" customHeight="1">
      <c r="A33" s="117">
        <v>29</v>
      </c>
      <c r="B33" s="117" t="s">
        <v>18</v>
      </c>
      <c r="C33" s="125" t="s">
        <v>1214</v>
      </c>
      <c r="D33" s="118" t="s">
        <v>312</v>
      </c>
      <c r="E33" s="148" t="s">
        <v>1193</v>
      </c>
      <c r="F33" s="149">
        <v>3</v>
      </c>
    </row>
    <row r="34" spans="1:15" ht="27.75" customHeight="1">
      <c r="A34" s="121">
        <v>30</v>
      </c>
      <c r="B34" s="121" t="s">
        <v>18</v>
      </c>
      <c r="C34" s="122" t="s">
        <v>322</v>
      </c>
      <c r="D34" s="129" t="s">
        <v>1215</v>
      </c>
      <c r="E34" s="123" t="s">
        <v>1178</v>
      </c>
      <c r="F34" s="124">
        <v>2</v>
      </c>
    </row>
    <row r="35" spans="1:15" ht="27.75" customHeight="1">
      <c r="A35" s="117">
        <v>31</v>
      </c>
      <c r="B35" s="117" t="s">
        <v>18</v>
      </c>
      <c r="C35" s="118" t="s">
        <v>332</v>
      </c>
      <c r="D35" s="125" t="s">
        <v>1216</v>
      </c>
      <c r="E35" s="148" t="s">
        <v>1193</v>
      </c>
      <c r="F35" s="149">
        <v>3</v>
      </c>
    </row>
    <row r="36" spans="1:15" ht="27.75" customHeight="1">
      <c r="A36" s="121">
        <v>32</v>
      </c>
      <c r="B36" s="121" t="s">
        <v>18</v>
      </c>
      <c r="C36" s="122" t="s">
        <v>344</v>
      </c>
      <c r="D36" s="122" t="s">
        <v>345</v>
      </c>
      <c r="E36" s="130" t="s">
        <v>1174</v>
      </c>
      <c r="F36" s="131">
        <v>7</v>
      </c>
    </row>
    <row r="37" spans="1:15" ht="27.75" customHeight="1">
      <c r="A37" s="117">
        <v>33</v>
      </c>
      <c r="B37" s="117" t="s">
        <v>18</v>
      </c>
      <c r="C37" s="118" t="s">
        <v>355</v>
      </c>
      <c r="D37" s="118" t="s">
        <v>356</v>
      </c>
      <c r="E37" s="130" t="s">
        <v>1174</v>
      </c>
      <c r="F37" s="131">
        <v>7</v>
      </c>
    </row>
    <row r="38" spans="1:15" ht="27.75" customHeight="1">
      <c r="A38" s="121">
        <v>34</v>
      </c>
      <c r="B38" s="121" t="s">
        <v>18</v>
      </c>
      <c r="C38" s="129" t="s">
        <v>1217</v>
      </c>
      <c r="D38" s="129" t="s">
        <v>1218</v>
      </c>
      <c r="E38" s="130" t="s">
        <v>1174</v>
      </c>
      <c r="F38" s="131">
        <v>7</v>
      </c>
    </row>
    <row r="39" spans="1:15" ht="27.75" customHeight="1">
      <c r="A39" s="117">
        <v>35</v>
      </c>
      <c r="B39" s="117" t="s">
        <v>18</v>
      </c>
      <c r="C39" s="118" t="s">
        <v>375</v>
      </c>
      <c r="D39" s="118" t="s">
        <v>376</v>
      </c>
      <c r="E39" s="126" t="s">
        <v>1180</v>
      </c>
      <c r="F39" s="127">
        <v>6</v>
      </c>
    </row>
    <row r="40" spans="1:15" ht="27.75" customHeight="1">
      <c r="A40" s="121">
        <v>36</v>
      </c>
      <c r="B40" s="121" t="s">
        <v>18</v>
      </c>
      <c r="C40" s="129" t="s">
        <v>1219</v>
      </c>
      <c r="D40" s="129" t="s">
        <v>1220</v>
      </c>
      <c r="E40" s="144" t="s">
        <v>1183</v>
      </c>
      <c r="F40" s="145">
        <v>1</v>
      </c>
      <c r="M40" s="158" t="s">
        <v>1175</v>
      </c>
      <c r="N40" s="158" t="s">
        <v>1181</v>
      </c>
      <c r="O40" s="158" t="s">
        <v>1144</v>
      </c>
    </row>
    <row r="41" spans="1:15" ht="27.75" customHeight="1">
      <c r="A41" s="117">
        <v>37</v>
      </c>
      <c r="B41" s="117" t="s">
        <v>18</v>
      </c>
      <c r="C41" s="118" t="s">
        <v>396</v>
      </c>
      <c r="D41" s="125" t="s">
        <v>1221</v>
      </c>
      <c r="E41" s="148" t="s">
        <v>1193</v>
      </c>
      <c r="F41" s="149">
        <v>3</v>
      </c>
      <c r="M41" s="159" t="s">
        <v>1183</v>
      </c>
      <c r="N41" s="160">
        <v>12</v>
      </c>
      <c r="O41" s="160" t="s">
        <v>1184</v>
      </c>
    </row>
    <row r="42" spans="1:15" ht="27.75" customHeight="1">
      <c r="A42" s="121">
        <v>38</v>
      </c>
      <c r="B42" s="121" t="s">
        <v>18</v>
      </c>
      <c r="C42" s="122" t="s">
        <v>409</v>
      </c>
      <c r="D42" s="129" t="s">
        <v>1222</v>
      </c>
      <c r="E42" s="126" t="s">
        <v>1180</v>
      </c>
      <c r="F42" s="127">
        <v>6</v>
      </c>
      <c r="M42" s="161" t="s">
        <v>1178</v>
      </c>
      <c r="N42" s="162">
        <v>9</v>
      </c>
      <c r="O42" s="162" t="s">
        <v>1186</v>
      </c>
    </row>
    <row r="43" spans="1:15" ht="27.75" customHeight="1">
      <c r="A43" s="117">
        <v>39</v>
      </c>
      <c r="B43" s="117" t="s">
        <v>18</v>
      </c>
      <c r="C43" s="125" t="s">
        <v>1223</v>
      </c>
      <c r="D43" s="118" t="s">
        <v>421</v>
      </c>
      <c r="E43" s="148" t="s">
        <v>1193</v>
      </c>
      <c r="F43" s="149">
        <v>3</v>
      </c>
      <c r="M43" s="163" t="s">
        <v>1188</v>
      </c>
      <c r="N43" s="164">
        <v>5</v>
      </c>
      <c r="O43" s="164" t="s">
        <v>1189</v>
      </c>
    </row>
    <row r="44" spans="1:15" ht="27.75" customHeight="1">
      <c r="A44" s="121">
        <v>40</v>
      </c>
      <c r="B44" s="121" t="s">
        <v>18</v>
      </c>
      <c r="C44" s="122" t="s">
        <v>432</v>
      </c>
      <c r="D44" s="122" t="s">
        <v>433</v>
      </c>
      <c r="E44" s="126" t="s">
        <v>1180</v>
      </c>
      <c r="F44" s="127">
        <v>6</v>
      </c>
      <c r="M44" s="165" t="s">
        <v>1177</v>
      </c>
      <c r="N44" s="166">
        <v>3</v>
      </c>
      <c r="O44" s="166" t="s">
        <v>1191</v>
      </c>
    </row>
    <row r="45" spans="1:15" ht="27.75" customHeight="1">
      <c r="A45" s="117">
        <v>41</v>
      </c>
      <c r="B45" s="117" t="s">
        <v>18</v>
      </c>
      <c r="C45" s="118" t="s">
        <v>441</v>
      </c>
      <c r="D45" s="118" t="s">
        <v>442</v>
      </c>
      <c r="E45" s="130" t="s">
        <v>1174</v>
      </c>
      <c r="F45" s="131">
        <v>7</v>
      </c>
      <c r="M45" s="167" t="s">
        <v>1180</v>
      </c>
      <c r="N45" s="168">
        <v>13</v>
      </c>
      <c r="O45" s="168" t="s">
        <v>1192</v>
      </c>
    </row>
    <row r="46" spans="1:15" ht="27.75" customHeight="1">
      <c r="A46" s="121">
        <v>42</v>
      </c>
      <c r="B46" s="121" t="s">
        <v>18</v>
      </c>
      <c r="C46" s="129" t="s">
        <v>1224</v>
      </c>
      <c r="D46" s="129" t="s">
        <v>1225</v>
      </c>
      <c r="E46" s="148" t="s">
        <v>1193</v>
      </c>
      <c r="F46" s="149">
        <v>3</v>
      </c>
      <c r="M46" s="169" t="s">
        <v>1193</v>
      </c>
      <c r="N46" s="170">
        <v>22</v>
      </c>
      <c r="O46" s="170" t="s">
        <v>1194</v>
      </c>
    </row>
    <row r="47" spans="1:15" ht="27.75" customHeight="1">
      <c r="A47" s="117">
        <v>43</v>
      </c>
      <c r="B47" s="117" t="s">
        <v>18</v>
      </c>
      <c r="C47" s="125" t="s">
        <v>1226</v>
      </c>
      <c r="D47" s="118" t="s">
        <v>462</v>
      </c>
      <c r="E47" s="123" t="s">
        <v>1178</v>
      </c>
      <c r="F47" s="124">
        <v>2</v>
      </c>
      <c r="M47" s="171" t="s">
        <v>1174</v>
      </c>
      <c r="N47" s="172">
        <v>21</v>
      </c>
      <c r="O47" s="172" t="s">
        <v>1196</v>
      </c>
    </row>
    <row r="48" spans="1:15" ht="27.75" customHeight="1">
      <c r="A48" s="121">
        <v>44</v>
      </c>
      <c r="B48" s="121" t="s">
        <v>18</v>
      </c>
      <c r="C48" s="129" t="s">
        <v>1227</v>
      </c>
      <c r="D48" s="129" t="s">
        <v>1228</v>
      </c>
      <c r="E48" s="130" t="s">
        <v>1174</v>
      </c>
      <c r="F48" s="131">
        <v>7</v>
      </c>
    </row>
    <row r="49" spans="1:8" ht="27.75" customHeight="1">
      <c r="A49" s="117">
        <v>45</v>
      </c>
      <c r="B49" s="117" t="s">
        <v>18</v>
      </c>
      <c r="C49" s="125" t="s">
        <v>1229</v>
      </c>
      <c r="D49" s="118" t="s">
        <v>479</v>
      </c>
      <c r="E49" s="130" t="s">
        <v>1174</v>
      </c>
      <c r="F49" s="131">
        <v>7</v>
      </c>
    </row>
    <row r="50" spans="1:8" ht="27.75" customHeight="1">
      <c r="A50" s="121">
        <v>46</v>
      </c>
      <c r="B50" s="121" t="s">
        <v>18</v>
      </c>
      <c r="C50" s="129" t="s">
        <v>1230</v>
      </c>
      <c r="D50" s="129" t="s">
        <v>1231</v>
      </c>
      <c r="E50" s="130" t="s">
        <v>1174</v>
      </c>
      <c r="F50" s="131">
        <v>7</v>
      </c>
    </row>
    <row r="51" spans="1:8" ht="27.75" customHeight="1">
      <c r="A51" s="117">
        <v>47</v>
      </c>
      <c r="B51" s="117" t="s">
        <v>18</v>
      </c>
      <c r="C51" s="118" t="s">
        <v>494</v>
      </c>
      <c r="D51" s="125" t="s">
        <v>1232</v>
      </c>
      <c r="E51" s="144" t="s">
        <v>1183</v>
      </c>
      <c r="F51" s="145">
        <v>1</v>
      </c>
    </row>
    <row r="52" spans="1:8" ht="27.75" customHeight="1">
      <c r="A52" s="121">
        <v>48</v>
      </c>
      <c r="B52" s="121" t="s">
        <v>18</v>
      </c>
      <c r="C52" s="122" t="s">
        <v>503</v>
      </c>
      <c r="D52" s="122" t="s">
        <v>504</v>
      </c>
      <c r="E52" s="130" t="s">
        <v>1174</v>
      </c>
      <c r="F52" s="131">
        <v>7</v>
      </c>
    </row>
    <row r="53" spans="1:8" ht="27.75" customHeight="1">
      <c r="A53" s="117">
        <v>49</v>
      </c>
      <c r="B53" s="117" t="s">
        <v>18</v>
      </c>
      <c r="C53" s="118" t="s">
        <v>512</v>
      </c>
      <c r="D53" s="118" t="s">
        <v>513</v>
      </c>
      <c r="E53" s="144" t="s">
        <v>1183</v>
      </c>
      <c r="F53" s="145">
        <v>1</v>
      </c>
    </row>
    <row r="54" spans="1:8" ht="27.75" customHeight="1">
      <c r="A54" s="121">
        <v>50</v>
      </c>
      <c r="B54" s="121" t="s">
        <v>18</v>
      </c>
      <c r="C54" s="122" t="s">
        <v>522</v>
      </c>
      <c r="D54" s="129" t="s">
        <v>1233</v>
      </c>
      <c r="E54" s="144" t="s">
        <v>1183</v>
      </c>
      <c r="F54" s="145">
        <v>1</v>
      </c>
    </row>
    <row r="55" spans="1:8" ht="27.75" customHeight="1">
      <c r="A55" s="117">
        <v>51</v>
      </c>
      <c r="B55" s="117" t="s">
        <v>18</v>
      </c>
      <c r="C55" s="118" t="s">
        <v>530</v>
      </c>
      <c r="D55" s="118" t="s">
        <v>531</v>
      </c>
      <c r="E55" s="126" t="s">
        <v>1180</v>
      </c>
      <c r="F55" s="127">
        <v>6</v>
      </c>
    </row>
    <row r="56" spans="1:8" ht="27.75" customHeight="1">
      <c r="A56" s="121">
        <v>52</v>
      </c>
      <c r="B56" s="121" t="s">
        <v>18</v>
      </c>
      <c r="C56" s="122" t="s">
        <v>540</v>
      </c>
      <c r="D56" s="129" t="s">
        <v>1234</v>
      </c>
      <c r="E56" s="130" t="s">
        <v>1174</v>
      </c>
      <c r="F56" s="131">
        <v>7</v>
      </c>
    </row>
    <row r="57" spans="1:8" ht="27.75" customHeight="1">
      <c r="A57" s="117">
        <v>54</v>
      </c>
      <c r="B57" s="117" t="s">
        <v>546</v>
      </c>
      <c r="C57" s="118" t="s">
        <v>557</v>
      </c>
      <c r="D57" s="125" t="s">
        <v>1235</v>
      </c>
      <c r="E57" s="148" t="s">
        <v>1193</v>
      </c>
      <c r="F57" s="149">
        <v>3</v>
      </c>
    </row>
    <row r="58" spans="1:8" ht="27.75" customHeight="1">
      <c r="A58" s="265">
        <v>57</v>
      </c>
      <c r="B58" s="265" t="s">
        <v>546</v>
      </c>
      <c r="C58" s="266" t="s">
        <v>583</v>
      </c>
      <c r="D58" s="266" t="s">
        <v>1236</v>
      </c>
      <c r="E58" s="267" t="s">
        <v>1183</v>
      </c>
      <c r="F58" s="268">
        <v>1</v>
      </c>
      <c r="G58" s="261"/>
      <c r="H58" s="261"/>
    </row>
    <row r="59" spans="1:8" ht="27.75" customHeight="1">
      <c r="A59" s="117">
        <v>58</v>
      </c>
      <c r="B59" s="117" t="s">
        <v>546</v>
      </c>
      <c r="C59" s="125" t="s">
        <v>1237</v>
      </c>
      <c r="D59" s="118" t="s">
        <v>594</v>
      </c>
      <c r="E59" s="123" t="s">
        <v>1178</v>
      </c>
      <c r="F59" s="124">
        <v>2</v>
      </c>
    </row>
    <row r="60" spans="1:8" ht="27.75" customHeight="1">
      <c r="A60" s="121">
        <v>59</v>
      </c>
      <c r="B60" s="121" t="s">
        <v>546</v>
      </c>
      <c r="C60" s="122" t="s">
        <v>603</v>
      </c>
      <c r="D60" s="129" t="s">
        <v>1238</v>
      </c>
      <c r="E60" s="144" t="s">
        <v>1183</v>
      </c>
      <c r="F60" s="145">
        <v>1</v>
      </c>
    </row>
    <row r="61" spans="1:8" ht="27.75" customHeight="1">
      <c r="A61" s="117">
        <v>60</v>
      </c>
      <c r="B61" s="117" t="s">
        <v>546</v>
      </c>
      <c r="C61" s="118" t="s">
        <v>603</v>
      </c>
      <c r="D61" s="125" t="s">
        <v>1239</v>
      </c>
      <c r="E61" s="126" t="s">
        <v>1180</v>
      </c>
      <c r="F61" s="127">
        <v>6</v>
      </c>
    </row>
    <row r="62" spans="1:8" ht="27.75" customHeight="1">
      <c r="A62" s="121">
        <v>62</v>
      </c>
      <c r="B62" s="121" t="s">
        <v>546</v>
      </c>
      <c r="C62" s="129" t="s">
        <v>1240</v>
      </c>
      <c r="D62" s="129" t="s">
        <v>1241</v>
      </c>
      <c r="E62" s="123" t="s">
        <v>1178</v>
      </c>
      <c r="F62" s="124">
        <v>2</v>
      </c>
    </row>
    <row r="63" spans="1:8" ht="27.75" customHeight="1">
      <c r="A63" s="117">
        <v>63</v>
      </c>
      <c r="B63" s="117" t="s">
        <v>546</v>
      </c>
      <c r="C63" s="118" t="s">
        <v>603</v>
      </c>
      <c r="D63" s="118" t="s">
        <v>642</v>
      </c>
      <c r="E63" s="126" t="s">
        <v>1180</v>
      </c>
      <c r="F63" s="127">
        <v>6</v>
      </c>
    </row>
    <row r="64" spans="1:8" ht="27.75" customHeight="1">
      <c r="A64" s="265">
        <v>64</v>
      </c>
      <c r="B64" s="265" t="s">
        <v>546</v>
      </c>
      <c r="C64" s="266" t="s">
        <v>652</v>
      </c>
      <c r="D64" s="266" t="s">
        <v>1242</v>
      </c>
      <c r="E64" s="269" t="s">
        <v>1177</v>
      </c>
      <c r="F64" s="270">
        <v>5</v>
      </c>
      <c r="G64" s="261"/>
      <c r="H64" s="261"/>
    </row>
    <row r="65" spans="1:6" ht="27.75" customHeight="1">
      <c r="A65" s="117">
        <v>68</v>
      </c>
      <c r="B65" s="117" t="s">
        <v>546</v>
      </c>
      <c r="C65" s="125" t="s">
        <v>1243</v>
      </c>
      <c r="D65" s="118" t="s">
        <v>686</v>
      </c>
      <c r="E65" s="130" t="s">
        <v>1174</v>
      </c>
      <c r="F65" s="131">
        <v>7</v>
      </c>
    </row>
    <row r="66" spans="1:6" ht="27.75" customHeight="1">
      <c r="A66" s="121">
        <v>69</v>
      </c>
      <c r="B66" s="121" t="s">
        <v>546</v>
      </c>
      <c r="C66" s="129" t="s">
        <v>1244</v>
      </c>
      <c r="D66" s="129" t="s">
        <v>1245</v>
      </c>
      <c r="E66" s="148" t="s">
        <v>1193</v>
      </c>
      <c r="F66" s="149">
        <v>3</v>
      </c>
    </row>
    <row r="67" spans="1:6" ht="27.75" customHeight="1">
      <c r="A67" s="117">
        <v>70</v>
      </c>
      <c r="B67" s="117" t="s">
        <v>546</v>
      </c>
      <c r="C67" s="118" t="s">
        <v>705</v>
      </c>
      <c r="D67" s="118" t="s">
        <v>706</v>
      </c>
      <c r="E67" s="148" t="s">
        <v>1193</v>
      </c>
      <c r="F67" s="149">
        <v>3</v>
      </c>
    </row>
    <row r="68" spans="1:6" ht="27.75" customHeight="1">
      <c r="A68" s="121">
        <v>71</v>
      </c>
      <c r="B68" s="121" t="s">
        <v>546</v>
      </c>
      <c r="C68" s="129" t="s">
        <v>1246</v>
      </c>
      <c r="D68" s="129" t="s">
        <v>1247</v>
      </c>
      <c r="E68" s="123" t="s">
        <v>1178</v>
      </c>
      <c r="F68" s="124">
        <v>2</v>
      </c>
    </row>
    <row r="69" spans="1:6" ht="27.75" customHeight="1">
      <c r="A69" s="117">
        <v>72</v>
      </c>
      <c r="B69" s="117" t="s">
        <v>546</v>
      </c>
      <c r="C69" s="118" t="s">
        <v>727</v>
      </c>
      <c r="D69" s="125" t="s">
        <v>1248</v>
      </c>
      <c r="E69" s="126" t="s">
        <v>1180</v>
      </c>
      <c r="F69" s="127">
        <v>6</v>
      </c>
    </row>
    <row r="70" spans="1:6" ht="27.75" customHeight="1">
      <c r="A70" s="154">
        <v>73</v>
      </c>
      <c r="B70" s="154" t="s">
        <v>546</v>
      </c>
      <c r="C70" s="155" t="s">
        <v>738</v>
      </c>
      <c r="D70" s="155" t="s">
        <v>739</v>
      </c>
      <c r="E70" s="152" t="s">
        <v>1199</v>
      </c>
      <c r="F70" s="153">
        <v>4</v>
      </c>
    </row>
    <row r="71" spans="1:6" ht="27.75" customHeight="1">
      <c r="A71" s="117">
        <v>75</v>
      </c>
      <c r="B71" s="117" t="s">
        <v>546</v>
      </c>
      <c r="C71" s="125" t="s">
        <v>1249</v>
      </c>
      <c r="D71" s="125" t="s">
        <v>1250</v>
      </c>
      <c r="E71" s="144" t="s">
        <v>1183</v>
      </c>
      <c r="F71" s="145">
        <v>1</v>
      </c>
    </row>
    <row r="72" spans="1:6" ht="27.75" customHeight="1">
      <c r="A72" s="121">
        <v>78</v>
      </c>
      <c r="B72" s="121" t="s">
        <v>546</v>
      </c>
      <c r="C72" s="122" t="s">
        <v>779</v>
      </c>
      <c r="D72" s="122" t="s">
        <v>780</v>
      </c>
      <c r="E72" s="148" t="s">
        <v>1193</v>
      </c>
      <c r="F72" s="149">
        <v>3</v>
      </c>
    </row>
    <row r="73" spans="1:6" ht="27.75" customHeight="1">
      <c r="A73" s="117">
        <v>79</v>
      </c>
      <c r="B73" s="117" t="s">
        <v>546</v>
      </c>
      <c r="C73" s="118" t="s">
        <v>603</v>
      </c>
      <c r="D73" s="125" t="s">
        <v>1251</v>
      </c>
      <c r="E73" s="126" t="s">
        <v>1180</v>
      </c>
      <c r="F73" s="127">
        <v>6</v>
      </c>
    </row>
    <row r="74" spans="1:6" ht="27.75" customHeight="1">
      <c r="A74" s="121">
        <v>81</v>
      </c>
      <c r="B74" s="121" t="s">
        <v>546</v>
      </c>
      <c r="C74" s="122" t="s">
        <v>805</v>
      </c>
      <c r="D74" s="122" t="s">
        <v>806</v>
      </c>
      <c r="E74" s="126" t="s">
        <v>1180</v>
      </c>
      <c r="F74" s="127">
        <v>6</v>
      </c>
    </row>
    <row r="75" spans="1:6" ht="27.75" customHeight="1">
      <c r="A75" s="117">
        <v>82</v>
      </c>
      <c r="B75" s="117" t="s">
        <v>546</v>
      </c>
      <c r="C75" s="118" t="s">
        <v>815</v>
      </c>
      <c r="D75" s="118" t="s">
        <v>816</v>
      </c>
      <c r="E75" s="148" t="s">
        <v>1193</v>
      </c>
      <c r="F75" s="149">
        <v>3</v>
      </c>
    </row>
    <row r="76" spans="1:6" ht="27.75" customHeight="1">
      <c r="A76" s="121">
        <v>83</v>
      </c>
      <c r="B76" s="121" t="s">
        <v>546</v>
      </c>
      <c r="C76" s="122" t="s">
        <v>603</v>
      </c>
      <c r="D76" s="129" t="s">
        <v>1252</v>
      </c>
      <c r="E76" s="123" t="s">
        <v>1178</v>
      </c>
      <c r="F76" s="124">
        <v>2</v>
      </c>
    </row>
    <row r="77" spans="1:6" ht="27.75" customHeight="1">
      <c r="A77" s="117">
        <v>84</v>
      </c>
      <c r="B77" s="117" t="s">
        <v>546</v>
      </c>
      <c r="C77" s="118" t="s">
        <v>830</v>
      </c>
      <c r="D77" s="125" t="s">
        <v>1253</v>
      </c>
      <c r="E77" s="148" t="s">
        <v>1193</v>
      </c>
      <c r="F77" s="149">
        <v>3</v>
      </c>
    </row>
    <row r="78" spans="1:6" ht="27.75" customHeight="1">
      <c r="A78" s="121">
        <v>86</v>
      </c>
      <c r="B78" s="121" t="s">
        <v>546</v>
      </c>
      <c r="C78" s="122" t="s">
        <v>603</v>
      </c>
      <c r="D78" s="129" t="s">
        <v>1239</v>
      </c>
      <c r="E78" s="126" t="s">
        <v>1180</v>
      </c>
      <c r="F78" s="127">
        <v>6</v>
      </c>
    </row>
    <row r="79" spans="1:6" ht="27.75" customHeight="1">
      <c r="A79" s="117">
        <v>87</v>
      </c>
      <c r="B79" s="117" t="s">
        <v>546</v>
      </c>
      <c r="C79" s="118" t="s">
        <v>603</v>
      </c>
      <c r="D79" s="125" t="s">
        <v>1254</v>
      </c>
      <c r="E79" s="126" t="s">
        <v>1180</v>
      </c>
      <c r="F79" s="127">
        <v>6</v>
      </c>
    </row>
    <row r="80" spans="1:6" ht="27.75" customHeight="1">
      <c r="A80" s="121">
        <v>88</v>
      </c>
      <c r="B80" s="121" t="s">
        <v>546</v>
      </c>
      <c r="C80" s="122" t="s">
        <v>603</v>
      </c>
      <c r="D80" s="129" t="s">
        <v>1255</v>
      </c>
      <c r="E80" s="126" t="s">
        <v>1180</v>
      </c>
      <c r="F80" s="127">
        <v>6</v>
      </c>
    </row>
    <row r="81" spans="1:8" ht="27.75" customHeight="1">
      <c r="A81" s="117"/>
      <c r="B81" s="117" t="s">
        <v>224</v>
      </c>
      <c r="C81" s="125" t="s">
        <v>1256</v>
      </c>
      <c r="D81" s="118" t="s">
        <v>872</v>
      </c>
      <c r="E81" s="123" t="s">
        <v>1178</v>
      </c>
      <c r="F81" s="124">
        <v>2</v>
      </c>
    </row>
    <row r="82" spans="1:8" ht="27.75" customHeight="1">
      <c r="A82" s="121"/>
      <c r="B82" s="121" t="s">
        <v>224</v>
      </c>
      <c r="C82" s="122" t="s">
        <v>880</v>
      </c>
      <c r="D82" s="122" t="s">
        <v>881</v>
      </c>
      <c r="E82" s="148" t="s">
        <v>1193</v>
      </c>
      <c r="F82" s="149">
        <v>3</v>
      </c>
    </row>
    <row r="83" spans="1:8" ht="27.75" customHeight="1">
      <c r="A83" s="271"/>
      <c r="B83" s="271" t="s">
        <v>224</v>
      </c>
      <c r="C83" s="272" t="s">
        <v>892</v>
      </c>
      <c r="D83" s="272" t="s">
        <v>1257</v>
      </c>
      <c r="E83" s="267" t="s">
        <v>1183</v>
      </c>
      <c r="F83" s="268">
        <v>1</v>
      </c>
      <c r="G83" s="261"/>
      <c r="H83" s="261"/>
    </row>
    <row r="84" spans="1:8" ht="27.75" customHeight="1">
      <c r="A84" s="121"/>
      <c r="B84" s="121" t="s">
        <v>224</v>
      </c>
      <c r="C84" s="122" t="s">
        <v>899</v>
      </c>
      <c r="D84" s="129" t="s">
        <v>1258</v>
      </c>
      <c r="E84" s="119" t="s">
        <v>1177</v>
      </c>
      <c r="F84" s="120">
        <v>5</v>
      </c>
    </row>
    <row r="85" spans="1:8" ht="27.75" customHeight="1">
      <c r="A85" s="271"/>
      <c r="B85" s="271" t="s">
        <v>224</v>
      </c>
      <c r="C85" s="272" t="s">
        <v>1259</v>
      </c>
      <c r="D85" s="272" t="s">
        <v>907</v>
      </c>
      <c r="E85" s="273" t="s">
        <v>1174</v>
      </c>
      <c r="F85" s="274">
        <v>7</v>
      </c>
      <c r="G85" s="261"/>
      <c r="H85" s="261"/>
    </row>
    <row r="86" spans="1:8" ht="27.75" customHeight="1">
      <c r="A86" s="121"/>
      <c r="B86" s="121" t="s">
        <v>224</v>
      </c>
      <c r="C86" s="122" t="s">
        <v>913</v>
      </c>
      <c r="D86" s="122" t="s">
        <v>914</v>
      </c>
      <c r="E86" s="148" t="s">
        <v>1193</v>
      </c>
      <c r="F86" s="149">
        <v>3</v>
      </c>
    </row>
    <row r="87" spans="1:8" ht="27.75" customHeight="1">
      <c r="A87" s="117"/>
      <c r="B87" s="117" t="s">
        <v>224</v>
      </c>
      <c r="C87" s="125" t="s">
        <v>1260</v>
      </c>
      <c r="D87" s="125" t="s">
        <v>1261</v>
      </c>
      <c r="E87" s="130" t="s">
        <v>1174</v>
      </c>
      <c r="F87" s="131">
        <v>7</v>
      </c>
    </row>
    <row r="88" spans="1:8" ht="27.75" customHeight="1">
      <c r="A88" s="121"/>
      <c r="B88" s="121" t="s">
        <v>224</v>
      </c>
      <c r="C88" s="122" t="s">
        <v>932</v>
      </c>
      <c r="D88" s="129" t="s">
        <v>1262</v>
      </c>
      <c r="E88" s="148" t="s">
        <v>1193</v>
      </c>
      <c r="F88" s="149">
        <v>3</v>
      </c>
    </row>
    <row r="89" spans="1:8" ht="27.75" customHeight="1">
      <c r="A89" s="117"/>
      <c r="B89" s="117" t="s">
        <v>224</v>
      </c>
      <c r="C89" s="118" t="s">
        <v>941</v>
      </c>
      <c r="D89" s="125" t="s">
        <v>1263</v>
      </c>
      <c r="E89" s="144" t="s">
        <v>1183</v>
      </c>
      <c r="F89" s="145">
        <v>1</v>
      </c>
    </row>
    <row r="90" spans="1:8" ht="15.75" customHeight="1">
      <c r="A90" s="3"/>
      <c r="B90" s="3"/>
      <c r="C90" s="3"/>
      <c r="D90" s="3"/>
      <c r="E90" s="3"/>
      <c r="F90" s="3"/>
    </row>
    <row r="91" spans="1:8" ht="15.75" customHeight="1">
      <c r="A91" s="3"/>
      <c r="B91" s="3"/>
      <c r="C91" s="3"/>
      <c r="D91" s="3"/>
      <c r="E91" s="3"/>
      <c r="F91" s="3"/>
    </row>
    <row r="92" spans="1:8" ht="21.75" customHeight="1">
      <c r="A92" s="374" t="s">
        <v>1264</v>
      </c>
      <c r="B92" s="365"/>
      <c r="C92" s="365"/>
      <c r="D92" s="365"/>
      <c r="E92" s="365"/>
      <c r="F92" s="370"/>
    </row>
    <row r="93" spans="1:8" ht="21.75" customHeight="1">
      <c r="A93" s="116" t="s">
        <v>1176</v>
      </c>
      <c r="B93" s="116" t="s">
        <v>1175</v>
      </c>
      <c r="C93" s="116" t="s">
        <v>1181</v>
      </c>
      <c r="D93" s="116" t="s">
        <v>1144</v>
      </c>
      <c r="E93" s="116" t="s">
        <v>1265</v>
      </c>
      <c r="F93" s="3"/>
    </row>
    <row r="94" spans="1:8" ht="15.75" customHeight="1">
      <c r="A94" s="325" t="s">
        <v>1081</v>
      </c>
      <c r="B94" s="326" t="s">
        <v>1183</v>
      </c>
      <c r="C94" s="325" t="s">
        <v>168</v>
      </c>
      <c r="D94" s="325" t="s">
        <v>1493</v>
      </c>
      <c r="E94" s="173" t="s">
        <v>1266</v>
      </c>
      <c r="F94" s="3"/>
    </row>
    <row r="95" spans="1:8" ht="15.75" customHeight="1">
      <c r="A95" s="327" t="s">
        <v>844</v>
      </c>
      <c r="B95" s="328" t="s">
        <v>1178</v>
      </c>
      <c r="C95" s="327" t="s">
        <v>269</v>
      </c>
      <c r="D95" s="327" t="s">
        <v>1494</v>
      </c>
      <c r="E95" s="174" t="s">
        <v>1267</v>
      </c>
      <c r="F95" s="3"/>
    </row>
    <row r="96" spans="1:8" ht="15.75" customHeight="1">
      <c r="A96" s="329" t="s">
        <v>1075</v>
      </c>
      <c r="B96" s="330" t="s">
        <v>1199</v>
      </c>
      <c r="C96" s="329" t="s">
        <v>1069</v>
      </c>
      <c r="D96" s="329" t="s">
        <v>1495</v>
      </c>
      <c r="E96" s="175" t="s">
        <v>1268</v>
      </c>
      <c r="F96" s="3"/>
    </row>
    <row r="97" spans="1:6" ht="15.75" customHeight="1">
      <c r="A97" s="331" t="s">
        <v>1069</v>
      </c>
      <c r="B97" s="332" t="s">
        <v>1177</v>
      </c>
      <c r="C97" s="331" t="s">
        <v>844</v>
      </c>
      <c r="D97" s="331" t="s">
        <v>1490</v>
      </c>
      <c r="E97" s="176" t="s">
        <v>1269</v>
      </c>
      <c r="F97" s="3"/>
    </row>
    <row r="98" spans="1:6" ht="15.75" customHeight="1">
      <c r="A98" s="333" t="s">
        <v>377</v>
      </c>
      <c r="B98" s="334" t="s">
        <v>1180</v>
      </c>
      <c r="C98" s="333" t="s">
        <v>422</v>
      </c>
      <c r="D98" s="333" t="s">
        <v>1496</v>
      </c>
      <c r="E98" s="177" t="s">
        <v>1270</v>
      </c>
      <c r="F98" s="3"/>
    </row>
    <row r="99" spans="1:6" ht="15.75" customHeight="1">
      <c r="A99" s="335" t="s">
        <v>346</v>
      </c>
      <c r="B99" s="336" t="s">
        <v>1193</v>
      </c>
      <c r="C99" s="335" t="s">
        <v>411</v>
      </c>
      <c r="D99" s="335" t="s">
        <v>1497</v>
      </c>
      <c r="E99" s="178" t="s">
        <v>1271</v>
      </c>
      <c r="F99" s="3"/>
    </row>
    <row r="100" spans="1:6" ht="15.75" customHeight="1">
      <c r="A100" s="337" t="s">
        <v>1012</v>
      </c>
      <c r="B100" s="338" t="s">
        <v>1174</v>
      </c>
      <c r="C100" s="337" t="s">
        <v>388</v>
      </c>
      <c r="D100" s="337" t="s">
        <v>1196</v>
      </c>
      <c r="E100" s="179" t="s">
        <v>1272</v>
      </c>
      <c r="F100" s="3"/>
    </row>
    <row r="101" spans="1:6" ht="15.75" customHeight="1">
      <c r="A101" s="180"/>
      <c r="B101" s="339" t="s">
        <v>954</v>
      </c>
      <c r="C101" s="339" t="s">
        <v>976</v>
      </c>
      <c r="D101" s="339" t="s">
        <v>1492</v>
      </c>
      <c r="E101" s="180"/>
      <c r="F101" s="3"/>
    </row>
    <row r="102" spans="1:6" ht="21.75" customHeight="1">
      <c r="A102" s="375" t="s">
        <v>1273</v>
      </c>
      <c r="B102" s="365"/>
      <c r="C102" s="365"/>
      <c r="D102" s="365"/>
      <c r="E102" s="365"/>
      <c r="F102" s="366"/>
    </row>
    <row r="103" spans="1:6" ht="15.75" customHeight="1">
      <c r="A103" s="3"/>
      <c r="B103" s="3"/>
      <c r="C103" s="3"/>
      <c r="D103" s="3"/>
      <c r="E103" s="3"/>
      <c r="F103" s="3"/>
    </row>
    <row r="104" spans="1:6" ht="24" customHeight="1">
      <c r="A104" s="369"/>
      <c r="B104" s="365"/>
      <c r="C104" s="365"/>
      <c r="D104" s="365"/>
      <c r="E104" s="365"/>
      <c r="F104" s="370"/>
    </row>
    <row r="105" spans="1:6" ht="79.5" customHeight="1">
      <c r="A105" s="367"/>
      <c r="B105" s="365"/>
      <c r="C105" s="365"/>
      <c r="D105" s="365"/>
      <c r="E105" s="365"/>
      <c r="F105" s="366"/>
    </row>
    <row r="106" spans="1:6" ht="79.5" customHeight="1">
      <c r="A106" s="364"/>
      <c r="B106" s="365"/>
      <c r="C106" s="365"/>
      <c r="D106" s="365"/>
      <c r="E106" s="365"/>
      <c r="F106" s="366"/>
    </row>
    <row r="107" spans="1:6" ht="79.5" customHeight="1">
      <c r="A107" s="367"/>
      <c r="B107" s="365"/>
      <c r="C107" s="365"/>
      <c r="D107" s="365"/>
      <c r="E107" s="365"/>
      <c r="F107" s="366"/>
    </row>
    <row r="108" spans="1:6" ht="79.5" customHeight="1">
      <c r="A108" s="364"/>
      <c r="B108" s="365"/>
      <c r="C108" s="365"/>
      <c r="D108" s="365"/>
      <c r="E108" s="365"/>
      <c r="F108" s="366"/>
    </row>
    <row r="109" spans="1:6" ht="79.5" customHeight="1">
      <c r="A109" s="367"/>
      <c r="B109" s="365"/>
      <c r="C109" s="365"/>
      <c r="D109" s="365"/>
      <c r="E109" s="365"/>
      <c r="F109" s="366"/>
    </row>
    <row r="110" spans="1:6" ht="30" customHeight="1">
      <c r="A110" s="368"/>
      <c r="B110" s="353"/>
      <c r="C110" s="353"/>
      <c r="D110" s="353"/>
      <c r="E110" s="353"/>
      <c r="F110" s="354"/>
    </row>
    <row r="111" spans="1:6" ht="15.75" customHeight="1">
      <c r="A111" s="3"/>
      <c r="B111" s="3"/>
      <c r="C111" s="3"/>
      <c r="D111" s="3"/>
      <c r="E111" s="3"/>
      <c r="F111" s="3"/>
    </row>
    <row r="112" spans="1:6" ht="15.75" customHeight="1">
      <c r="A112" s="3"/>
      <c r="B112" s="3"/>
      <c r="C112" s="3"/>
      <c r="D112" s="3"/>
      <c r="E112" s="3"/>
      <c r="F112" s="3"/>
    </row>
    <row r="113" spans="1:6" ht="15.75" customHeight="1">
      <c r="A113" s="3"/>
      <c r="B113" s="3"/>
      <c r="C113" s="3"/>
      <c r="D113" s="3"/>
      <c r="E113" s="3"/>
      <c r="F113" s="3"/>
    </row>
    <row r="114" spans="1:6" ht="15.75" customHeight="1">
      <c r="A114" s="3"/>
      <c r="B114" s="3"/>
      <c r="C114" s="3"/>
      <c r="D114" s="3"/>
      <c r="E114" s="3"/>
      <c r="F114" s="3"/>
    </row>
    <row r="115" spans="1:6" ht="15.75" customHeight="1">
      <c r="A115" s="3"/>
      <c r="B115" s="3"/>
      <c r="C115" s="3"/>
      <c r="D115" s="3"/>
      <c r="E115" s="3"/>
      <c r="F115" s="3"/>
    </row>
    <row r="116" spans="1:6" ht="15.75" customHeight="1">
      <c r="A116" s="3"/>
      <c r="B116" s="3"/>
      <c r="C116" s="3"/>
      <c r="D116" s="3"/>
      <c r="E116" s="3"/>
      <c r="F116" s="3"/>
    </row>
    <row r="117" spans="1:6" ht="15.75" customHeight="1">
      <c r="A117" s="3"/>
      <c r="B117" s="3"/>
      <c r="C117" s="3"/>
      <c r="D117" s="3"/>
      <c r="E117" s="3"/>
      <c r="F117" s="3"/>
    </row>
    <row r="118" spans="1:6" ht="15.75" customHeight="1">
      <c r="A118" s="3"/>
      <c r="B118" s="3"/>
      <c r="C118" s="3"/>
      <c r="D118" s="3"/>
      <c r="E118" s="3"/>
      <c r="F118" s="3"/>
    </row>
    <row r="119" spans="1:6" ht="15.75" customHeight="1">
      <c r="A119" s="3"/>
      <c r="B119" s="3"/>
      <c r="C119" s="3"/>
      <c r="D119" s="3"/>
      <c r="E119" s="3"/>
      <c r="F119" s="3"/>
    </row>
    <row r="120" spans="1:6" ht="15.75" customHeight="1">
      <c r="A120" s="3"/>
      <c r="B120" s="3"/>
      <c r="C120" s="3"/>
      <c r="D120" s="3"/>
      <c r="E120" s="3"/>
      <c r="F120" s="3"/>
    </row>
    <row r="121" spans="1:6" ht="15.75" customHeight="1">
      <c r="A121" s="3"/>
      <c r="B121" s="3"/>
      <c r="C121" s="3"/>
      <c r="D121" s="3"/>
      <c r="E121" s="3"/>
      <c r="F121" s="3"/>
    </row>
    <row r="122" spans="1:6" ht="15.75" customHeight="1">
      <c r="A122" s="3"/>
      <c r="B122" s="3"/>
      <c r="C122" s="3"/>
      <c r="D122" s="3"/>
      <c r="E122" s="3"/>
      <c r="F122" s="3"/>
    </row>
    <row r="123" spans="1:6" ht="15.75" customHeight="1">
      <c r="A123" s="3"/>
      <c r="B123" s="3"/>
      <c r="C123" s="3"/>
      <c r="D123" s="3"/>
      <c r="E123" s="3"/>
      <c r="F123" s="3"/>
    </row>
    <row r="124" spans="1:6" ht="15.75" customHeight="1">
      <c r="A124" s="3"/>
      <c r="B124" s="3"/>
      <c r="C124" s="3"/>
      <c r="D124" s="3"/>
      <c r="E124" s="3"/>
      <c r="F124" s="3"/>
    </row>
    <row r="125" spans="1:6" ht="15.75" customHeight="1">
      <c r="A125" s="3"/>
      <c r="B125" s="3"/>
      <c r="C125" s="3"/>
      <c r="D125" s="3"/>
      <c r="E125" s="3"/>
      <c r="F125" s="3"/>
    </row>
    <row r="126" spans="1:6" ht="15.75" customHeight="1">
      <c r="A126" s="3"/>
      <c r="B126" s="3"/>
      <c r="C126" s="3"/>
      <c r="D126" s="3"/>
      <c r="E126" s="3"/>
      <c r="F126" s="3"/>
    </row>
    <row r="127" spans="1:6" ht="15.75" customHeight="1">
      <c r="A127" s="3"/>
      <c r="B127" s="3"/>
      <c r="C127" s="3"/>
      <c r="D127" s="3"/>
      <c r="E127" s="3"/>
      <c r="F127" s="3"/>
    </row>
    <row r="128" spans="1:6" ht="15.75" customHeight="1">
      <c r="A128" s="3"/>
      <c r="B128" s="3"/>
      <c r="C128" s="3"/>
      <c r="D128" s="3"/>
      <c r="E128" s="3"/>
      <c r="F128" s="3"/>
    </row>
    <row r="129" spans="1:6" ht="15.75" customHeight="1">
      <c r="A129" s="3"/>
      <c r="B129" s="3"/>
      <c r="C129" s="3"/>
      <c r="D129" s="3"/>
      <c r="E129" s="3"/>
      <c r="F129" s="3"/>
    </row>
    <row r="130" spans="1:6" ht="15.75" customHeight="1">
      <c r="A130" s="3"/>
      <c r="B130" s="3"/>
      <c r="C130" s="3"/>
      <c r="D130" s="3"/>
      <c r="E130" s="3"/>
      <c r="F130" s="3"/>
    </row>
    <row r="131" spans="1:6" ht="15.75" customHeight="1">
      <c r="A131" s="3"/>
      <c r="B131" s="3"/>
      <c r="C131" s="3"/>
      <c r="D131" s="3"/>
      <c r="E131" s="3"/>
      <c r="F131" s="3"/>
    </row>
    <row r="132" spans="1:6" ht="15.75" customHeight="1">
      <c r="A132" s="3"/>
      <c r="B132" s="3"/>
      <c r="C132" s="3"/>
      <c r="D132" s="3"/>
      <c r="E132" s="3"/>
      <c r="F132" s="3"/>
    </row>
    <row r="133" spans="1:6" ht="15.75" customHeight="1">
      <c r="A133" s="3"/>
      <c r="B133" s="3"/>
      <c r="C133" s="3"/>
      <c r="D133" s="3"/>
      <c r="E133" s="3"/>
      <c r="F133" s="3"/>
    </row>
    <row r="134" spans="1:6" ht="15.75" customHeight="1">
      <c r="A134" s="3"/>
      <c r="B134" s="3"/>
      <c r="C134" s="3"/>
      <c r="D134" s="3"/>
      <c r="E134" s="3"/>
      <c r="F134" s="3"/>
    </row>
    <row r="135" spans="1:6" ht="15.75" customHeight="1">
      <c r="A135" s="3"/>
      <c r="B135" s="3"/>
      <c r="C135" s="3"/>
      <c r="D135" s="3"/>
      <c r="E135" s="3"/>
      <c r="F135" s="3"/>
    </row>
    <row r="136" spans="1:6" ht="15.75" customHeight="1">
      <c r="A136" s="3"/>
      <c r="B136" s="3"/>
      <c r="C136" s="3"/>
      <c r="D136" s="3"/>
      <c r="E136" s="3"/>
      <c r="F136" s="3"/>
    </row>
    <row r="137" spans="1:6" ht="15.75" customHeight="1">
      <c r="A137" s="3"/>
      <c r="B137" s="3"/>
      <c r="C137" s="3"/>
      <c r="D137" s="3"/>
      <c r="E137" s="3"/>
      <c r="F137" s="3"/>
    </row>
    <row r="138" spans="1:6" ht="15.75" customHeight="1">
      <c r="A138" s="3"/>
      <c r="B138" s="3"/>
      <c r="C138" s="3"/>
      <c r="D138" s="3"/>
      <c r="E138" s="3"/>
      <c r="F138" s="3"/>
    </row>
    <row r="139" spans="1:6" ht="15.75" customHeight="1">
      <c r="A139" s="3"/>
      <c r="B139" s="3"/>
      <c r="C139" s="3"/>
      <c r="D139" s="3"/>
      <c r="E139" s="3"/>
      <c r="F139" s="3"/>
    </row>
    <row r="140" spans="1:6" ht="15.75" customHeight="1">
      <c r="A140" s="3"/>
      <c r="B140" s="3"/>
      <c r="C140" s="3"/>
      <c r="D140" s="3"/>
      <c r="E140" s="3"/>
      <c r="F140" s="3"/>
    </row>
    <row r="141" spans="1:6" ht="15.75" customHeight="1">
      <c r="A141" s="3"/>
      <c r="B141" s="3"/>
      <c r="C141" s="3"/>
      <c r="D141" s="3"/>
      <c r="E141" s="3"/>
      <c r="F141" s="3"/>
    </row>
    <row r="142" spans="1:6" ht="15.75" customHeight="1">
      <c r="A142" s="3"/>
      <c r="B142" s="3"/>
      <c r="C142" s="3"/>
      <c r="D142" s="3"/>
      <c r="E142" s="3"/>
      <c r="F142" s="3"/>
    </row>
    <row r="143" spans="1:6" ht="15.75" customHeight="1">
      <c r="A143" s="3"/>
      <c r="B143" s="3"/>
      <c r="C143" s="3"/>
      <c r="D143" s="3"/>
      <c r="E143" s="3"/>
      <c r="F143" s="3"/>
    </row>
    <row r="144" spans="1:6" ht="15.75" customHeight="1">
      <c r="A144" s="3"/>
      <c r="B144" s="3"/>
      <c r="C144" s="3"/>
      <c r="D144" s="3"/>
      <c r="E144" s="3"/>
      <c r="F144" s="3"/>
    </row>
    <row r="145" spans="1:6" ht="15.75" customHeight="1">
      <c r="A145" s="3"/>
      <c r="B145" s="3"/>
      <c r="C145" s="3"/>
      <c r="D145" s="3"/>
      <c r="E145" s="3"/>
      <c r="F145" s="3"/>
    </row>
    <row r="146" spans="1:6" ht="15.75" customHeight="1">
      <c r="A146" s="3"/>
      <c r="B146" s="3"/>
      <c r="C146" s="3"/>
      <c r="D146" s="3"/>
      <c r="E146" s="3"/>
      <c r="F146" s="3"/>
    </row>
    <row r="147" spans="1:6" ht="15.75" customHeight="1">
      <c r="A147" s="3"/>
      <c r="B147" s="3"/>
      <c r="C147" s="3"/>
      <c r="D147" s="3"/>
      <c r="E147" s="3"/>
      <c r="F147" s="3"/>
    </row>
    <row r="148" spans="1:6" ht="15.75" customHeight="1">
      <c r="A148" s="3"/>
      <c r="B148" s="3"/>
      <c r="C148" s="3"/>
      <c r="D148" s="3"/>
      <c r="E148" s="3"/>
      <c r="F148" s="3"/>
    </row>
    <row r="149" spans="1:6" ht="15.75" customHeight="1">
      <c r="A149" s="3"/>
      <c r="B149" s="3"/>
      <c r="C149" s="3"/>
      <c r="D149" s="3"/>
      <c r="E149" s="3"/>
      <c r="F149" s="3"/>
    </row>
    <row r="150" spans="1:6" ht="15.75" customHeight="1">
      <c r="A150" s="3"/>
      <c r="B150" s="3"/>
      <c r="C150" s="3"/>
      <c r="D150" s="3"/>
      <c r="E150" s="3"/>
      <c r="F150" s="3"/>
    </row>
    <row r="151" spans="1:6" ht="15.75" customHeight="1">
      <c r="A151" s="3"/>
      <c r="B151" s="3"/>
      <c r="C151" s="3"/>
      <c r="D151" s="3"/>
      <c r="E151" s="3"/>
      <c r="F151" s="3"/>
    </row>
    <row r="152" spans="1:6" ht="15.75" customHeight="1">
      <c r="A152" s="3"/>
      <c r="B152" s="3"/>
      <c r="C152" s="3"/>
      <c r="D152" s="3"/>
      <c r="E152" s="3"/>
      <c r="F152" s="3"/>
    </row>
    <row r="153" spans="1:6" ht="15.75" customHeight="1">
      <c r="A153" s="3"/>
      <c r="B153" s="3"/>
      <c r="C153" s="3"/>
      <c r="D153" s="3"/>
      <c r="E153" s="3"/>
      <c r="F153" s="3"/>
    </row>
    <row r="154" spans="1:6" ht="15.75" customHeight="1">
      <c r="A154" s="3"/>
      <c r="B154" s="3"/>
      <c r="C154" s="3"/>
      <c r="D154" s="3"/>
      <c r="E154" s="3"/>
      <c r="F154" s="3"/>
    </row>
    <row r="155" spans="1:6" ht="15.75" customHeight="1">
      <c r="A155" s="3"/>
      <c r="B155" s="3"/>
      <c r="C155" s="3"/>
      <c r="D155" s="3"/>
      <c r="E155" s="3"/>
      <c r="F155" s="3"/>
    </row>
    <row r="156" spans="1:6" ht="15.75" customHeight="1">
      <c r="A156" s="3"/>
      <c r="B156" s="3"/>
      <c r="C156" s="3"/>
      <c r="D156" s="3"/>
      <c r="E156" s="3"/>
      <c r="F156" s="3"/>
    </row>
    <row r="157" spans="1:6" ht="15.75" customHeight="1">
      <c r="A157" s="3"/>
      <c r="B157" s="3"/>
      <c r="C157" s="3"/>
      <c r="D157" s="3"/>
      <c r="E157" s="3"/>
      <c r="F157" s="3"/>
    </row>
    <row r="158" spans="1:6" ht="15.75" customHeight="1">
      <c r="A158" s="3"/>
      <c r="B158" s="3"/>
      <c r="C158" s="3"/>
      <c r="D158" s="3"/>
      <c r="E158" s="3"/>
      <c r="F158" s="3"/>
    </row>
    <row r="159" spans="1:6" ht="15.75" customHeight="1">
      <c r="A159" s="3"/>
      <c r="B159" s="3"/>
      <c r="C159" s="3"/>
      <c r="D159" s="3"/>
      <c r="E159" s="3"/>
      <c r="F159" s="3"/>
    </row>
    <row r="160" spans="1:6" ht="15.75" customHeight="1">
      <c r="A160" s="3"/>
      <c r="B160" s="3"/>
      <c r="C160" s="3"/>
      <c r="D160" s="3"/>
      <c r="E160" s="3"/>
      <c r="F160" s="3"/>
    </row>
    <row r="161" spans="1:6" ht="15.75" customHeight="1">
      <c r="A161" s="3"/>
      <c r="B161" s="3"/>
      <c r="C161" s="3"/>
      <c r="D161" s="3"/>
      <c r="E161" s="3"/>
      <c r="F161" s="3"/>
    </row>
    <row r="162" spans="1:6" ht="15.75" customHeight="1">
      <c r="A162" s="3"/>
      <c r="B162" s="3"/>
      <c r="C162" s="3"/>
      <c r="D162" s="3"/>
      <c r="E162" s="3"/>
      <c r="F162" s="3"/>
    </row>
    <row r="163" spans="1:6" ht="15.75" customHeight="1">
      <c r="A163" s="3"/>
      <c r="B163" s="3"/>
      <c r="C163" s="3"/>
      <c r="D163" s="3"/>
      <c r="E163" s="3"/>
      <c r="F163" s="3"/>
    </row>
    <row r="164" spans="1:6" ht="15.75" customHeight="1">
      <c r="A164" s="3"/>
      <c r="B164" s="3"/>
      <c r="C164" s="3"/>
      <c r="D164" s="3"/>
      <c r="E164" s="3"/>
      <c r="F164" s="3"/>
    </row>
    <row r="165" spans="1:6" ht="15.75" customHeight="1">
      <c r="A165" s="3"/>
      <c r="B165" s="3"/>
      <c r="C165" s="3"/>
      <c r="D165" s="3"/>
      <c r="E165" s="3"/>
      <c r="F165" s="3"/>
    </row>
    <row r="166" spans="1:6" ht="15.75" customHeight="1">
      <c r="A166" s="3"/>
      <c r="B166" s="3"/>
      <c r="C166" s="3"/>
      <c r="D166" s="3"/>
      <c r="E166" s="3"/>
      <c r="F166" s="3"/>
    </row>
    <row r="167" spans="1:6" ht="15.75" customHeight="1">
      <c r="A167" s="3"/>
      <c r="B167" s="3"/>
      <c r="C167" s="3"/>
      <c r="D167" s="3"/>
      <c r="E167" s="3"/>
      <c r="F167" s="3"/>
    </row>
    <row r="168" spans="1:6" ht="15.75" customHeight="1">
      <c r="A168" s="3"/>
      <c r="B168" s="3"/>
      <c r="C168" s="3"/>
      <c r="D168" s="3"/>
      <c r="E168" s="3"/>
      <c r="F168" s="3"/>
    </row>
    <row r="169" spans="1:6" ht="15.75" customHeight="1">
      <c r="A169" s="3"/>
      <c r="B169" s="3"/>
      <c r="C169" s="3"/>
      <c r="D169" s="3"/>
      <c r="E169" s="3"/>
      <c r="F169" s="3"/>
    </row>
    <row r="170" spans="1:6" ht="15.75" customHeight="1">
      <c r="A170" s="3"/>
      <c r="B170" s="3"/>
      <c r="C170" s="3"/>
      <c r="D170" s="3"/>
      <c r="E170" s="3"/>
      <c r="F170" s="3"/>
    </row>
    <row r="171" spans="1:6" ht="15.75" customHeight="1">
      <c r="A171" s="3"/>
      <c r="B171" s="3"/>
      <c r="C171" s="3"/>
      <c r="D171" s="3"/>
      <c r="E171" s="3"/>
      <c r="F171" s="3"/>
    </row>
    <row r="172" spans="1:6" ht="15.75" customHeight="1">
      <c r="A172" s="3"/>
      <c r="B172" s="3"/>
      <c r="C172" s="3"/>
      <c r="D172" s="3"/>
      <c r="E172" s="3"/>
      <c r="F172" s="3"/>
    </row>
    <row r="173" spans="1:6" ht="15.75" customHeight="1">
      <c r="A173" s="3"/>
      <c r="B173" s="3"/>
      <c r="C173" s="3"/>
      <c r="D173" s="3"/>
      <c r="E173" s="3"/>
      <c r="F173" s="3"/>
    </row>
    <row r="174" spans="1:6" ht="15.75" customHeight="1">
      <c r="A174" s="3"/>
      <c r="B174" s="3"/>
      <c r="C174" s="3"/>
      <c r="D174" s="3"/>
      <c r="E174" s="3"/>
      <c r="F174" s="3"/>
    </row>
    <row r="175" spans="1:6" ht="15.75" customHeight="1">
      <c r="A175" s="3"/>
      <c r="B175" s="3"/>
      <c r="C175" s="3"/>
      <c r="D175" s="3"/>
      <c r="E175" s="3"/>
      <c r="F175" s="3"/>
    </row>
    <row r="176" spans="1:6" ht="15.75" customHeight="1">
      <c r="A176" s="3"/>
      <c r="B176" s="3"/>
      <c r="C176" s="3"/>
      <c r="D176" s="3"/>
      <c r="E176" s="3"/>
      <c r="F176" s="3"/>
    </row>
    <row r="177" spans="1:6" ht="15.75" customHeight="1">
      <c r="A177" s="3"/>
      <c r="B177" s="3"/>
      <c r="C177" s="3"/>
      <c r="D177" s="3"/>
      <c r="E177" s="3"/>
      <c r="F177" s="3"/>
    </row>
    <row r="178" spans="1:6" ht="15.75" customHeight="1">
      <c r="A178" s="3"/>
      <c r="B178" s="3"/>
      <c r="C178" s="3"/>
      <c r="D178" s="3"/>
      <c r="E178" s="3"/>
      <c r="F178" s="3"/>
    </row>
    <row r="179" spans="1:6" ht="15.75" customHeight="1">
      <c r="A179" s="3"/>
      <c r="B179" s="3"/>
      <c r="C179" s="3"/>
      <c r="D179" s="3"/>
      <c r="E179" s="3"/>
      <c r="F179" s="3"/>
    </row>
    <row r="180" spans="1:6" ht="15.75" customHeight="1">
      <c r="A180" s="3"/>
      <c r="B180" s="3"/>
      <c r="C180" s="3"/>
      <c r="D180" s="3"/>
      <c r="E180" s="3"/>
      <c r="F180" s="3"/>
    </row>
    <row r="181" spans="1:6" ht="15.75" customHeight="1">
      <c r="A181" s="3"/>
      <c r="B181" s="3"/>
      <c r="C181" s="3"/>
      <c r="D181" s="3"/>
      <c r="E181" s="3"/>
      <c r="F181" s="3"/>
    </row>
    <row r="182" spans="1:6" ht="15.75" customHeight="1">
      <c r="A182" s="3"/>
      <c r="B182" s="3"/>
      <c r="C182" s="3"/>
      <c r="D182" s="3"/>
      <c r="E182" s="3"/>
      <c r="F182" s="3"/>
    </row>
    <row r="183" spans="1:6" ht="15.75" customHeight="1">
      <c r="A183" s="3"/>
      <c r="B183" s="3"/>
      <c r="C183" s="3"/>
      <c r="D183" s="3"/>
      <c r="E183" s="3"/>
      <c r="F183" s="3"/>
    </row>
    <row r="184" spans="1:6" ht="15.75" customHeight="1">
      <c r="A184" s="3"/>
      <c r="B184" s="3"/>
      <c r="C184" s="3"/>
      <c r="D184" s="3"/>
      <c r="E184" s="3"/>
      <c r="F184" s="3"/>
    </row>
    <row r="185" spans="1:6" ht="15.75" customHeight="1">
      <c r="A185" s="3"/>
      <c r="B185" s="3"/>
      <c r="C185" s="3"/>
      <c r="D185" s="3"/>
      <c r="E185" s="3"/>
      <c r="F185" s="3"/>
    </row>
    <row r="186" spans="1:6" ht="15.75" customHeight="1">
      <c r="A186" s="3"/>
      <c r="B186" s="3"/>
      <c r="C186" s="3"/>
      <c r="D186" s="3"/>
      <c r="E186" s="3"/>
      <c r="F186" s="3"/>
    </row>
    <row r="187" spans="1:6" ht="15.75" customHeight="1">
      <c r="A187" s="3"/>
      <c r="B187" s="3"/>
      <c r="C187" s="3"/>
      <c r="D187" s="3"/>
      <c r="E187" s="3"/>
      <c r="F187" s="3"/>
    </row>
    <row r="188" spans="1:6" ht="15.75" customHeight="1">
      <c r="A188" s="3"/>
      <c r="B188" s="3"/>
      <c r="C188" s="3"/>
      <c r="D188" s="3"/>
      <c r="E188" s="3"/>
      <c r="F188" s="3"/>
    </row>
    <row r="189" spans="1:6" ht="15.75" customHeight="1">
      <c r="A189" s="3"/>
      <c r="B189" s="3"/>
      <c r="C189" s="3"/>
      <c r="D189" s="3"/>
      <c r="E189" s="3"/>
      <c r="F189" s="3"/>
    </row>
    <row r="190" spans="1:6" ht="15.75" customHeight="1">
      <c r="A190" s="3"/>
      <c r="B190" s="3"/>
      <c r="C190" s="3"/>
      <c r="D190" s="3"/>
      <c r="E190" s="3"/>
      <c r="F190" s="3"/>
    </row>
    <row r="191" spans="1:6" ht="15.75" customHeight="1">
      <c r="A191" s="3"/>
      <c r="B191" s="3"/>
      <c r="C191" s="3"/>
      <c r="D191" s="3"/>
      <c r="E191" s="3"/>
      <c r="F191" s="3"/>
    </row>
    <row r="192" spans="1:6" ht="15.75" customHeight="1">
      <c r="A192" s="3"/>
      <c r="B192" s="3"/>
      <c r="C192" s="3"/>
      <c r="D192" s="3"/>
      <c r="E192" s="3"/>
      <c r="F192" s="3"/>
    </row>
    <row r="193" spans="1:6" ht="15.75" customHeight="1">
      <c r="A193" s="3"/>
      <c r="B193" s="3"/>
      <c r="C193" s="3"/>
      <c r="D193" s="3"/>
      <c r="E193" s="3"/>
      <c r="F193" s="3"/>
    </row>
    <row r="194" spans="1:6" ht="15.75" customHeight="1">
      <c r="A194" s="3"/>
      <c r="B194" s="3"/>
      <c r="C194" s="3"/>
      <c r="D194" s="3"/>
      <c r="E194" s="3"/>
      <c r="F194" s="3"/>
    </row>
    <row r="195" spans="1:6" ht="15.75" customHeight="1">
      <c r="A195" s="3"/>
      <c r="B195" s="3"/>
      <c r="C195" s="3"/>
      <c r="D195" s="3"/>
      <c r="E195" s="3"/>
      <c r="F195" s="3"/>
    </row>
    <row r="196" spans="1:6" ht="15.75" customHeight="1">
      <c r="A196" s="3"/>
      <c r="B196" s="3"/>
      <c r="C196" s="3"/>
      <c r="D196" s="3"/>
      <c r="E196" s="3"/>
      <c r="F196" s="3"/>
    </row>
    <row r="197" spans="1:6" ht="15.75" customHeight="1">
      <c r="A197" s="3"/>
      <c r="B197" s="3"/>
      <c r="C197" s="3"/>
      <c r="D197" s="3"/>
      <c r="E197" s="3"/>
      <c r="F197" s="3"/>
    </row>
    <row r="198" spans="1:6" ht="15.75" customHeight="1">
      <c r="A198" s="3"/>
      <c r="B198" s="3"/>
      <c r="C198" s="3"/>
      <c r="D198" s="3"/>
      <c r="E198" s="3"/>
      <c r="F198" s="3"/>
    </row>
    <row r="199" spans="1:6" ht="15.75" customHeight="1">
      <c r="A199" s="3"/>
      <c r="B199" s="3"/>
      <c r="C199" s="3"/>
      <c r="D199" s="3"/>
      <c r="E199" s="3"/>
      <c r="F199" s="3"/>
    </row>
    <row r="200" spans="1:6" ht="15.75" customHeight="1">
      <c r="A200" s="3"/>
      <c r="B200" s="3"/>
      <c r="C200" s="3"/>
      <c r="D200" s="3"/>
      <c r="E200" s="3"/>
      <c r="F200" s="3"/>
    </row>
    <row r="201" spans="1:6" ht="15.75" customHeight="1">
      <c r="A201" s="3"/>
      <c r="B201" s="3"/>
      <c r="C201" s="3"/>
      <c r="D201" s="3"/>
      <c r="E201" s="3"/>
      <c r="F201" s="3"/>
    </row>
    <row r="202" spans="1:6" ht="15.75" customHeight="1">
      <c r="A202" s="3"/>
      <c r="B202" s="3"/>
      <c r="C202" s="3"/>
      <c r="D202" s="3"/>
      <c r="E202" s="3"/>
      <c r="F202" s="3"/>
    </row>
    <row r="203" spans="1:6" ht="15.75" customHeight="1">
      <c r="A203" s="3"/>
      <c r="B203" s="3"/>
      <c r="C203" s="3"/>
      <c r="D203" s="3"/>
      <c r="E203" s="3"/>
      <c r="F203" s="3"/>
    </row>
    <row r="204" spans="1:6" ht="15.75" customHeight="1">
      <c r="A204" s="3"/>
      <c r="B204" s="3"/>
      <c r="C204" s="3"/>
      <c r="D204" s="3"/>
      <c r="E204" s="3"/>
      <c r="F204" s="3"/>
    </row>
    <row r="205" spans="1:6" ht="15.75" customHeight="1">
      <c r="A205" s="3"/>
      <c r="B205" s="3"/>
      <c r="C205" s="3"/>
      <c r="D205" s="3"/>
      <c r="E205" s="3"/>
      <c r="F205" s="3"/>
    </row>
    <row r="206" spans="1:6" ht="15.75" customHeight="1">
      <c r="A206" s="3"/>
      <c r="B206" s="3"/>
      <c r="C206" s="3"/>
      <c r="D206" s="3"/>
      <c r="E206" s="3"/>
      <c r="F206" s="3"/>
    </row>
    <row r="207" spans="1:6" ht="15.75" customHeight="1">
      <c r="A207" s="3"/>
      <c r="B207" s="3"/>
      <c r="C207" s="3"/>
      <c r="D207" s="3"/>
      <c r="E207" s="3"/>
      <c r="F207" s="3"/>
    </row>
    <row r="208" spans="1:6" ht="15.75" customHeight="1">
      <c r="A208" s="3"/>
      <c r="B208" s="3"/>
      <c r="C208" s="3"/>
      <c r="D208" s="3"/>
      <c r="E208" s="3"/>
      <c r="F208" s="3"/>
    </row>
    <row r="209" spans="1:6" ht="15.75" customHeight="1">
      <c r="A209" s="3"/>
      <c r="B209" s="3"/>
      <c r="C209" s="3"/>
      <c r="D209" s="3"/>
      <c r="E209" s="3"/>
      <c r="F209" s="3"/>
    </row>
    <row r="210" spans="1:6" ht="15.75" customHeight="1">
      <c r="A210" s="3"/>
      <c r="B210" s="3"/>
      <c r="C210" s="3"/>
      <c r="D210" s="3"/>
      <c r="E210" s="3"/>
      <c r="F210" s="3"/>
    </row>
    <row r="211" spans="1:6" ht="15.75" customHeight="1">
      <c r="A211" s="3"/>
      <c r="B211" s="3"/>
      <c r="C211" s="3"/>
      <c r="D211" s="3"/>
      <c r="E211" s="3"/>
      <c r="F211" s="3"/>
    </row>
    <row r="212" spans="1:6" ht="15.75" customHeight="1">
      <c r="A212" s="3"/>
      <c r="B212" s="3"/>
      <c r="C212" s="3"/>
      <c r="D212" s="3"/>
      <c r="E212" s="3"/>
      <c r="F212" s="3"/>
    </row>
    <row r="213" spans="1:6" ht="15.75" customHeight="1">
      <c r="A213" s="3"/>
      <c r="B213" s="3"/>
      <c r="C213" s="3"/>
      <c r="D213" s="3"/>
      <c r="E213" s="3"/>
      <c r="F213" s="3"/>
    </row>
    <row r="214" spans="1:6" ht="15.75" customHeight="1">
      <c r="A214" s="3"/>
      <c r="B214" s="3"/>
      <c r="C214" s="3"/>
      <c r="D214" s="3"/>
      <c r="E214" s="3"/>
      <c r="F214" s="3"/>
    </row>
    <row r="215" spans="1:6" ht="15.75" customHeight="1">
      <c r="A215" s="3"/>
      <c r="B215" s="3"/>
      <c r="C215" s="3"/>
      <c r="D215" s="3"/>
      <c r="E215" s="3"/>
      <c r="F215" s="3"/>
    </row>
    <row r="216" spans="1:6" ht="15.75" customHeight="1">
      <c r="A216" s="3"/>
      <c r="B216" s="3"/>
      <c r="C216" s="3"/>
      <c r="D216" s="3"/>
      <c r="E216" s="3"/>
      <c r="F216" s="3"/>
    </row>
    <row r="217" spans="1:6" ht="15.75" customHeight="1">
      <c r="A217" s="3"/>
      <c r="B217" s="3"/>
      <c r="C217" s="3"/>
      <c r="D217" s="3"/>
      <c r="E217" s="3"/>
      <c r="F217" s="3"/>
    </row>
    <row r="218" spans="1:6" ht="15.75" customHeight="1">
      <c r="A218" s="3"/>
      <c r="B218" s="3"/>
      <c r="C218" s="3"/>
      <c r="D218" s="3"/>
      <c r="E218" s="3"/>
      <c r="F218" s="3"/>
    </row>
    <row r="219" spans="1:6" ht="15.75" customHeight="1">
      <c r="A219" s="3"/>
      <c r="B219" s="3"/>
      <c r="C219" s="3"/>
      <c r="D219" s="3"/>
      <c r="E219" s="3"/>
      <c r="F219" s="3"/>
    </row>
    <row r="220" spans="1:6" ht="15.75" customHeight="1">
      <c r="A220" s="3"/>
      <c r="B220" s="3"/>
      <c r="C220" s="3"/>
      <c r="D220" s="3"/>
      <c r="E220" s="3"/>
      <c r="F220" s="3"/>
    </row>
    <row r="221" spans="1:6" ht="15.75" customHeight="1">
      <c r="A221" s="3"/>
      <c r="B221" s="3"/>
      <c r="C221" s="3"/>
      <c r="D221" s="3"/>
      <c r="E221" s="3"/>
      <c r="F221" s="3"/>
    </row>
    <row r="222" spans="1:6" ht="15.75" customHeight="1">
      <c r="A222" s="3"/>
      <c r="B222" s="3"/>
      <c r="C222" s="3"/>
      <c r="D222" s="3"/>
      <c r="E222" s="3"/>
      <c r="F222" s="3"/>
    </row>
    <row r="223" spans="1:6" ht="15.75" customHeight="1">
      <c r="A223" s="3"/>
      <c r="B223" s="3"/>
      <c r="C223" s="3"/>
      <c r="D223" s="3"/>
      <c r="E223" s="3"/>
      <c r="F223" s="3"/>
    </row>
    <row r="224" spans="1:6" ht="15.75" customHeight="1">
      <c r="A224" s="3"/>
      <c r="B224" s="3"/>
      <c r="C224" s="3"/>
      <c r="D224" s="3"/>
      <c r="E224" s="3"/>
      <c r="F224" s="3"/>
    </row>
    <row r="225" spans="1:6" ht="15.75" customHeight="1">
      <c r="A225" s="3"/>
      <c r="B225" s="3"/>
      <c r="C225" s="3"/>
      <c r="D225" s="3"/>
      <c r="E225" s="3"/>
      <c r="F225" s="3"/>
    </row>
    <row r="226" spans="1:6" ht="15.75" customHeight="1">
      <c r="A226" s="3"/>
      <c r="B226" s="3"/>
      <c r="C226" s="3"/>
      <c r="D226" s="3"/>
      <c r="E226" s="3"/>
      <c r="F226" s="3"/>
    </row>
    <row r="227" spans="1:6" ht="15.75" customHeight="1">
      <c r="A227" s="3"/>
      <c r="B227" s="3"/>
      <c r="C227" s="3"/>
      <c r="D227" s="3"/>
      <c r="E227" s="3"/>
      <c r="F227" s="3"/>
    </row>
    <row r="228" spans="1:6" ht="15.75" customHeight="1">
      <c r="A228" s="3"/>
      <c r="B228" s="3"/>
      <c r="C228" s="3"/>
      <c r="D228" s="3"/>
      <c r="E228" s="3"/>
      <c r="F228" s="3"/>
    </row>
    <row r="229" spans="1:6" ht="15.75" customHeight="1">
      <c r="A229" s="3"/>
      <c r="B229" s="3"/>
      <c r="C229" s="3"/>
      <c r="D229" s="3"/>
      <c r="E229" s="3"/>
      <c r="F229" s="3"/>
    </row>
    <row r="230" spans="1:6" ht="15.75" customHeight="1">
      <c r="A230" s="3"/>
      <c r="B230" s="3"/>
      <c r="C230" s="3"/>
      <c r="D230" s="3"/>
      <c r="E230" s="3"/>
      <c r="F230" s="3"/>
    </row>
    <row r="231" spans="1:6" ht="15.75" customHeight="1">
      <c r="A231" s="3"/>
      <c r="B231" s="3"/>
      <c r="C231" s="3"/>
      <c r="D231" s="3"/>
      <c r="E231" s="3"/>
      <c r="F231" s="3"/>
    </row>
    <row r="232" spans="1:6" ht="15.75" customHeight="1">
      <c r="A232" s="3"/>
      <c r="B232" s="3"/>
      <c r="C232" s="3"/>
      <c r="D232" s="3"/>
      <c r="E232" s="3"/>
      <c r="F232" s="3"/>
    </row>
    <row r="233" spans="1:6" ht="15.75" customHeight="1">
      <c r="A233" s="3"/>
      <c r="B233" s="3"/>
      <c r="C233" s="3"/>
      <c r="D233" s="3"/>
      <c r="E233" s="3"/>
      <c r="F233" s="3"/>
    </row>
    <row r="234" spans="1:6" ht="15.75" customHeight="1">
      <c r="A234" s="3"/>
      <c r="B234" s="3"/>
      <c r="C234" s="3"/>
      <c r="D234" s="3"/>
      <c r="E234" s="3"/>
      <c r="F234" s="3"/>
    </row>
    <row r="235" spans="1:6" ht="15.75" customHeight="1">
      <c r="A235" s="3"/>
      <c r="B235" s="3"/>
      <c r="C235" s="3"/>
      <c r="D235" s="3"/>
      <c r="E235" s="3"/>
      <c r="F235" s="3"/>
    </row>
    <row r="236" spans="1:6" ht="15.75" customHeight="1">
      <c r="A236" s="3"/>
      <c r="B236" s="3"/>
      <c r="C236" s="3"/>
      <c r="D236" s="3"/>
      <c r="E236" s="3"/>
      <c r="F236" s="3"/>
    </row>
    <row r="237" spans="1:6" ht="15.75" customHeight="1">
      <c r="A237" s="3"/>
      <c r="B237" s="3"/>
      <c r="C237" s="3"/>
      <c r="D237" s="3"/>
      <c r="E237" s="3"/>
      <c r="F237" s="3"/>
    </row>
    <row r="238" spans="1:6" ht="15.75" customHeight="1">
      <c r="A238" s="3"/>
      <c r="B238" s="3"/>
      <c r="C238" s="3"/>
      <c r="D238" s="3"/>
      <c r="E238" s="3"/>
      <c r="F238" s="3"/>
    </row>
    <row r="239" spans="1:6" ht="15.75" customHeight="1">
      <c r="A239" s="3"/>
      <c r="B239" s="3"/>
      <c r="C239" s="3"/>
      <c r="D239" s="3"/>
      <c r="E239" s="3"/>
      <c r="F239" s="3"/>
    </row>
    <row r="240" spans="1:6" ht="15.75" customHeight="1">
      <c r="A240" s="3"/>
      <c r="B240" s="3"/>
      <c r="C240" s="3"/>
      <c r="D240" s="3"/>
      <c r="E240" s="3"/>
      <c r="F240" s="3"/>
    </row>
    <row r="241" spans="1:6" ht="15.75" customHeight="1">
      <c r="A241" s="3"/>
      <c r="B241" s="3"/>
      <c r="C241" s="3"/>
      <c r="D241" s="3"/>
      <c r="E241" s="3"/>
      <c r="F241" s="3"/>
    </row>
    <row r="242" spans="1:6" ht="15.75" customHeight="1">
      <c r="A242" s="3"/>
      <c r="B242" s="3"/>
      <c r="C242" s="3"/>
      <c r="D242" s="3"/>
      <c r="E242" s="3"/>
      <c r="F242" s="3"/>
    </row>
    <row r="243" spans="1:6" ht="15.75" customHeight="1">
      <c r="A243" s="3"/>
      <c r="B243" s="3"/>
      <c r="C243" s="3"/>
      <c r="D243" s="3"/>
      <c r="E243" s="3"/>
      <c r="F243" s="3"/>
    </row>
    <row r="244" spans="1:6" ht="15.75" customHeight="1">
      <c r="A244" s="3"/>
      <c r="B244" s="3"/>
      <c r="C244" s="3"/>
      <c r="D244" s="3"/>
      <c r="E244" s="3"/>
      <c r="F244" s="3"/>
    </row>
    <row r="245" spans="1:6" ht="15.75" customHeight="1">
      <c r="A245" s="3"/>
      <c r="B245" s="3"/>
      <c r="C245" s="3"/>
      <c r="D245" s="3"/>
      <c r="E245" s="3"/>
      <c r="F245" s="3"/>
    </row>
    <row r="246" spans="1:6" ht="15.75" customHeight="1">
      <c r="A246" s="3"/>
      <c r="B246" s="3"/>
      <c r="C246" s="3"/>
      <c r="D246" s="3"/>
      <c r="E246" s="3"/>
      <c r="F246" s="3"/>
    </row>
    <row r="247" spans="1:6" ht="15.75" customHeight="1">
      <c r="A247" s="3"/>
      <c r="B247" s="3"/>
      <c r="C247" s="3"/>
      <c r="D247" s="3"/>
      <c r="E247" s="3"/>
      <c r="F247" s="3"/>
    </row>
    <row r="248" spans="1:6" ht="15.75" customHeight="1">
      <c r="A248" s="3"/>
      <c r="B248" s="3"/>
      <c r="C248" s="3"/>
      <c r="D248" s="3"/>
      <c r="E248" s="3"/>
      <c r="F248" s="3"/>
    </row>
    <row r="249" spans="1:6" ht="15.75" customHeight="1">
      <c r="A249" s="3"/>
      <c r="B249" s="3"/>
      <c r="C249" s="3"/>
      <c r="D249" s="3"/>
      <c r="E249" s="3"/>
      <c r="F249" s="3"/>
    </row>
    <row r="250" spans="1:6" ht="15.75" customHeight="1">
      <c r="A250" s="3"/>
      <c r="B250" s="3"/>
      <c r="C250" s="3"/>
      <c r="D250" s="3"/>
      <c r="E250" s="3"/>
      <c r="F250" s="3"/>
    </row>
    <row r="251" spans="1:6" ht="15.75" customHeight="1">
      <c r="A251" s="3"/>
      <c r="B251" s="3"/>
      <c r="C251" s="3"/>
      <c r="D251" s="3"/>
      <c r="E251" s="3"/>
      <c r="F251" s="3"/>
    </row>
    <row r="252" spans="1:6" ht="15.75" customHeight="1">
      <c r="A252" s="3"/>
      <c r="B252" s="3"/>
      <c r="C252" s="3"/>
      <c r="D252" s="3"/>
      <c r="E252" s="3"/>
      <c r="F252" s="3"/>
    </row>
    <row r="253" spans="1:6" ht="15.75" customHeight="1">
      <c r="A253" s="3"/>
      <c r="B253" s="3"/>
      <c r="C253" s="3"/>
      <c r="D253" s="3"/>
      <c r="E253" s="3"/>
      <c r="F253" s="3"/>
    </row>
    <row r="254" spans="1:6" ht="15.75" customHeight="1">
      <c r="A254" s="3"/>
      <c r="B254" s="3"/>
      <c r="C254" s="3"/>
      <c r="D254" s="3"/>
      <c r="E254" s="3"/>
      <c r="F254" s="3"/>
    </row>
    <row r="255" spans="1:6" ht="15.75" customHeight="1">
      <c r="A255" s="3"/>
      <c r="B255" s="3"/>
      <c r="C255" s="3"/>
      <c r="D255" s="3"/>
      <c r="E255" s="3"/>
      <c r="F255" s="3"/>
    </row>
    <row r="256" spans="1:6" ht="15.75" customHeight="1">
      <c r="A256" s="3"/>
      <c r="B256" s="3"/>
      <c r="C256" s="3"/>
      <c r="D256" s="3"/>
      <c r="E256" s="3"/>
      <c r="F256" s="3"/>
    </row>
    <row r="257" spans="1:6" ht="15.75" customHeight="1">
      <c r="A257" s="3"/>
      <c r="B257" s="3"/>
      <c r="C257" s="3"/>
      <c r="D257" s="3"/>
      <c r="E257" s="3"/>
      <c r="F257" s="3"/>
    </row>
    <row r="258" spans="1:6" ht="15.75" customHeight="1">
      <c r="A258" s="3"/>
      <c r="B258" s="3"/>
      <c r="C258" s="3"/>
      <c r="D258" s="3"/>
      <c r="E258" s="3"/>
      <c r="F258" s="3"/>
    </row>
    <row r="259" spans="1:6" ht="15.75" customHeight="1">
      <c r="A259" s="3"/>
      <c r="B259" s="3"/>
      <c r="C259" s="3"/>
      <c r="D259" s="3"/>
      <c r="E259" s="3"/>
      <c r="F259" s="3"/>
    </row>
    <row r="260" spans="1:6" ht="15.75" customHeight="1">
      <c r="A260" s="3"/>
      <c r="B260" s="3"/>
      <c r="C260" s="3"/>
      <c r="D260" s="3"/>
      <c r="E260" s="3"/>
      <c r="F260" s="3"/>
    </row>
    <row r="261" spans="1:6" ht="15.75" customHeight="1">
      <c r="A261" s="3"/>
      <c r="B261" s="3"/>
      <c r="C261" s="3"/>
      <c r="D261" s="3"/>
      <c r="E261" s="3"/>
      <c r="F261" s="3"/>
    </row>
    <row r="262" spans="1:6" ht="15.75" customHeight="1">
      <c r="A262" s="3"/>
      <c r="B262" s="3"/>
      <c r="C262" s="3"/>
      <c r="D262" s="3"/>
      <c r="E262" s="3"/>
      <c r="F262" s="3"/>
    </row>
    <row r="263" spans="1:6" ht="15.75" customHeight="1">
      <c r="A263" s="3"/>
      <c r="B263" s="3"/>
      <c r="C263" s="3"/>
      <c r="D263" s="3"/>
      <c r="E263" s="3"/>
      <c r="F263" s="3"/>
    </row>
    <row r="264" spans="1:6" ht="15.75" customHeight="1">
      <c r="A264" s="3"/>
      <c r="B264" s="3"/>
      <c r="C264" s="3"/>
      <c r="D264" s="3"/>
      <c r="E264" s="3"/>
      <c r="F264" s="3"/>
    </row>
    <row r="265" spans="1:6" ht="15.75" customHeight="1">
      <c r="A265" s="3"/>
      <c r="B265" s="3"/>
      <c r="C265" s="3"/>
      <c r="D265" s="3"/>
      <c r="E265" s="3"/>
      <c r="F265" s="3"/>
    </row>
    <row r="266" spans="1:6" ht="15.75" customHeight="1">
      <c r="A266" s="3"/>
      <c r="B266" s="3"/>
      <c r="C266" s="3"/>
      <c r="D266" s="3"/>
      <c r="E266" s="3"/>
      <c r="F266" s="3"/>
    </row>
    <row r="267" spans="1:6" ht="15.75" customHeight="1">
      <c r="A267" s="3"/>
      <c r="B267" s="3"/>
      <c r="C267" s="3"/>
      <c r="D267" s="3"/>
      <c r="E267" s="3"/>
      <c r="F267" s="3"/>
    </row>
    <row r="268" spans="1:6" ht="15.75" customHeight="1">
      <c r="A268" s="3"/>
      <c r="B268" s="3"/>
      <c r="C268" s="3"/>
      <c r="D268" s="3"/>
      <c r="E268" s="3"/>
      <c r="F268" s="3"/>
    </row>
    <row r="269" spans="1:6" ht="15.75" customHeight="1">
      <c r="A269" s="3"/>
      <c r="B269" s="3"/>
      <c r="C269" s="3"/>
      <c r="D269" s="3"/>
      <c r="E269" s="3"/>
      <c r="F269" s="3"/>
    </row>
    <row r="270" spans="1:6" ht="15.75" customHeight="1">
      <c r="A270" s="3"/>
      <c r="B270" s="3"/>
      <c r="C270" s="3"/>
      <c r="D270" s="3"/>
      <c r="E270" s="3"/>
      <c r="F270" s="3"/>
    </row>
    <row r="271" spans="1:6" ht="15.75" customHeight="1">
      <c r="A271" s="3"/>
      <c r="B271" s="3"/>
      <c r="C271" s="3"/>
      <c r="D271" s="3"/>
      <c r="E271" s="3"/>
      <c r="F271" s="3"/>
    </row>
    <row r="272" spans="1:6" ht="15.75" customHeight="1">
      <c r="A272" s="3"/>
      <c r="B272" s="3"/>
      <c r="C272" s="3"/>
      <c r="D272" s="3"/>
      <c r="E272" s="3"/>
      <c r="F272" s="3"/>
    </row>
    <row r="273" spans="1:6" ht="15.75" customHeight="1">
      <c r="A273" s="3"/>
      <c r="B273" s="3"/>
      <c r="C273" s="3"/>
      <c r="D273" s="3"/>
      <c r="E273" s="3"/>
      <c r="F273" s="3"/>
    </row>
    <row r="274" spans="1:6" ht="15.75" customHeight="1">
      <c r="A274" s="3"/>
      <c r="B274" s="3"/>
      <c r="C274" s="3"/>
      <c r="D274" s="3"/>
      <c r="E274" s="3"/>
      <c r="F274" s="3"/>
    </row>
    <row r="275" spans="1:6" ht="15.75" customHeight="1">
      <c r="A275" s="3"/>
      <c r="B275" s="3"/>
      <c r="C275" s="3"/>
      <c r="D275" s="3"/>
      <c r="E275" s="3"/>
      <c r="F275" s="3"/>
    </row>
    <row r="276" spans="1:6" ht="15.75" customHeight="1">
      <c r="A276" s="3"/>
      <c r="B276" s="3"/>
      <c r="C276" s="3"/>
      <c r="D276" s="3"/>
      <c r="E276" s="3"/>
      <c r="F276" s="3"/>
    </row>
    <row r="277" spans="1:6" ht="15.75" customHeight="1">
      <c r="A277" s="3"/>
      <c r="B277" s="3"/>
      <c r="C277" s="3"/>
      <c r="D277" s="3"/>
      <c r="E277" s="3"/>
      <c r="F277" s="3"/>
    </row>
    <row r="278" spans="1:6" ht="15.75" customHeight="1">
      <c r="A278" s="3"/>
      <c r="B278" s="3"/>
      <c r="C278" s="3"/>
      <c r="D278" s="3"/>
      <c r="E278" s="3"/>
      <c r="F278" s="3"/>
    </row>
    <row r="279" spans="1:6" ht="15.75" customHeight="1">
      <c r="A279" s="3"/>
      <c r="B279" s="3"/>
      <c r="C279" s="3"/>
      <c r="D279" s="3"/>
      <c r="E279" s="3"/>
      <c r="F279" s="3"/>
    </row>
    <row r="280" spans="1:6" ht="15.75" customHeight="1">
      <c r="A280" s="3"/>
      <c r="B280" s="3"/>
      <c r="C280" s="3"/>
      <c r="D280" s="3"/>
      <c r="E280" s="3"/>
      <c r="F280" s="3"/>
    </row>
    <row r="281" spans="1:6" ht="15.75" customHeight="1">
      <c r="A281" s="3"/>
      <c r="B281" s="3"/>
      <c r="C281" s="3"/>
      <c r="D281" s="3"/>
      <c r="E281" s="3"/>
      <c r="F281" s="3"/>
    </row>
    <row r="282" spans="1:6" ht="15.75" customHeight="1">
      <c r="A282" s="3"/>
      <c r="B282" s="3"/>
      <c r="C282" s="3"/>
      <c r="D282" s="3"/>
      <c r="E282" s="3"/>
      <c r="F282" s="3"/>
    </row>
    <row r="283" spans="1:6" ht="15.75" customHeight="1">
      <c r="A283" s="3"/>
      <c r="B283" s="3"/>
      <c r="C283" s="3"/>
      <c r="D283" s="3"/>
      <c r="E283" s="3"/>
      <c r="F283" s="3"/>
    </row>
    <row r="284" spans="1:6" ht="15.75" customHeight="1">
      <c r="A284" s="3"/>
      <c r="B284" s="3"/>
      <c r="C284" s="3"/>
      <c r="D284" s="3"/>
      <c r="E284" s="3"/>
      <c r="F284" s="3"/>
    </row>
    <row r="285" spans="1:6" ht="15.75" customHeight="1">
      <c r="A285" s="3"/>
      <c r="B285" s="3"/>
      <c r="C285" s="3"/>
      <c r="D285" s="3"/>
      <c r="E285" s="3"/>
      <c r="F285" s="3"/>
    </row>
    <row r="286" spans="1:6" ht="15.75" customHeight="1">
      <c r="A286" s="3"/>
      <c r="B286" s="3"/>
      <c r="C286" s="3"/>
      <c r="D286" s="3"/>
      <c r="E286" s="3"/>
      <c r="F286" s="3"/>
    </row>
    <row r="287" spans="1:6" ht="15.75" customHeight="1">
      <c r="A287" s="3"/>
      <c r="B287" s="3"/>
      <c r="C287" s="3"/>
      <c r="D287" s="3"/>
      <c r="E287" s="3"/>
      <c r="F287" s="3"/>
    </row>
    <row r="288" spans="1:6" ht="15.75" customHeight="1">
      <c r="A288" s="3"/>
      <c r="B288" s="3"/>
      <c r="C288" s="3"/>
      <c r="D288" s="3"/>
      <c r="E288" s="3"/>
      <c r="F288" s="3"/>
    </row>
    <row r="289" spans="1:6" ht="15.75" customHeight="1">
      <c r="A289" s="3"/>
      <c r="B289" s="3"/>
      <c r="C289" s="3"/>
      <c r="D289" s="3"/>
      <c r="E289" s="3"/>
      <c r="F289" s="3"/>
    </row>
    <row r="290" spans="1:6" ht="15.75" customHeight="1">
      <c r="A290" s="3"/>
      <c r="B290" s="3"/>
      <c r="C290" s="3"/>
      <c r="D290" s="3"/>
      <c r="E290" s="3"/>
      <c r="F290" s="3"/>
    </row>
    <row r="291" spans="1:6" ht="15.75" customHeight="1">
      <c r="A291" s="3"/>
      <c r="B291" s="3"/>
      <c r="C291" s="3"/>
      <c r="D291" s="3"/>
      <c r="E291" s="3"/>
      <c r="F291" s="3"/>
    </row>
    <row r="292" spans="1:6" ht="15.75" customHeight="1">
      <c r="A292" s="3"/>
      <c r="B292" s="3"/>
      <c r="C292" s="3"/>
      <c r="D292" s="3"/>
      <c r="E292" s="3"/>
      <c r="F292" s="3"/>
    </row>
    <row r="293" spans="1:6" ht="15.75" customHeight="1">
      <c r="A293" s="3"/>
      <c r="B293" s="3"/>
      <c r="C293" s="3"/>
      <c r="D293" s="3"/>
      <c r="E293" s="3"/>
      <c r="F293" s="3"/>
    </row>
    <row r="294" spans="1:6" ht="15.75" customHeight="1">
      <c r="A294" s="3"/>
      <c r="B294" s="3"/>
      <c r="C294" s="3"/>
      <c r="D294" s="3"/>
      <c r="E294" s="3"/>
      <c r="F294" s="3"/>
    </row>
    <row r="295" spans="1:6" ht="15.75" customHeight="1">
      <c r="A295" s="3"/>
      <c r="B295" s="3"/>
      <c r="C295" s="3"/>
      <c r="D295" s="3"/>
      <c r="E295" s="3"/>
      <c r="F295" s="3"/>
    </row>
    <row r="296" spans="1:6" ht="15.75" customHeight="1">
      <c r="A296" s="3"/>
      <c r="B296" s="3"/>
      <c r="C296" s="3"/>
      <c r="D296" s="3"/>
      <c r="E296" s="3"/>
      <c r="F296" s="3"/>
    </row>
    <row r="297" spans="1:6" ht="15.75" customHeight="1">
      <c r="A297" s="3"/>
      <c r="B297" s="3"/>
      <c r="C297" s="3"/>
      <c r="D297" s="3"/>
      <c r="E297" s="3"/>
      <c r="F297" s="3"/>
    </row>
    <row r="298" spans="1:6" ht="15.75" customHeight="1">
      <c r="A298" s="3"/>
      <c r="B298" s="3"/>
      <c r="C298" s="3"/>
      <c r="D298" s="3"/>
      <c r="E298" s="3"/>
      <c r="F298" s="3"/>
    </row>
    <row r="299" spans="1:6" ht="15.75" customHeight="1">
      <c r="A299" s="3"/>
      <c r="B299" s="3"/>
      <c r="C299" s="3"/>
      <c r="D299" s="3"/>
      <c r="E299" s="3"/>
      <c r="F299" s="3"/>
    </row>
    <row r="300" spans="1:6" ht="15.75" customHeight="1">
      <c r="A300" s="3"/>
      <c r="B300" s="3"/>
      <c r="C300" s="3"/>
      <c r="D300" s="3"/>
      <c r="E300" s="3"/>
      <c r="F300" s="3"/>
    </row>
    <row r="301" spans="1:6" ht="15.75" customHeight="1">
      <c r="A301" s="3"/>
      <c r="B301" s="3"/>
      <c r="C301" s="3"/>
      <c r="D301" s="3"/>
      <c r="E301" s="3"/>
      <c r="F301" s="3"/>
    </row>
    <row r="302" spans="1:6" ht="15.75" customHeight="1">
      <c r="A302" s="3"/>
      <c r="B302" s="3"/>
      <c r="C302" s="3"/>
      <c r="D302" s="3"/>
      <c r="E302" s="3"/>
      <c r="F302" s="3"/>
    </row>
    <row r="303" spans="1:6" ht="15.75" customHeight="1">
      <c r="A303" s="3"/>
      <c r="B303" s="3"/>
      <c r="C303" s="3"/>
      <c r="D303" s="3"/>
      <c r="E303" s="3"/>
      <c r="F303" s="3"/>
    </row>
    <row r="304" spans="1:6" ht="15.75" customHeight="1">
      <c r="A304" s="3"/>
      <c r="B304" s="3"/>
      <c r="C304" s="3"/>
      <c r="D304" s="3"/>
      <c r="E304" s="3"/>
      <c r="F304" s="3"/>
    </row>
    <row r="305" spans="1:6" ht="15.75" customHeight="1">
      <c r="A305" s="3"/>
      <c r="B305" s="3"/>
      <c r="C305" s="3"/>
      <c r="D305" s="3"/>
      <c r="E305" s="3"/>
      <c r="F305" s="3"/>
    </row>
    <row r="306" spans="1:6" ht="15.75" customHeight="1">
      <c r="A306" s="3"/>
      <c r="B306" s="3"/>
      <c r="C306" s="3"/>
      <c r="D306" s="3"/>
      <c r="E306" s="3"/>
      <c r="F306" s="3"/>
    </row>
    <row r="307" spans="1:6" ht="15.75" customHeight="1">
      <c r="A307" s="3"/>
      <c r="B307" s="3"/>
      <c r="C307" s="3"/>
      <c r="D307" s="3"/>
      <c r="E307" s="3"/>
      <c r="F307" s="3"/>
    </row>
    <row r="308" spans="1:6" ht="15.75" customHeight="1">
      <c r="A308" s="3"/>
      <c r="B308" s="3"/>
      <c r="C308" s="3"/>
      <c r="D308" s="3"/>
      <c r="E308" s="3"/>
      <c r="F308" s="3"/>
    </row>
    <row r="309" spans="1:6" ht="15.75" customHeight="1">
      <c r="A309" s="3"/>
      <c r="B309" s="3"/>
      <c r="C309" s="3"/>
      <c r="D309" s="3"/>
      <c r="E309" s="3"/>
      <c r="F309" s="3"/>
    </row>
    <row r="310" spans="1:6" ht="15.75" customHeight="1">
      <c r="A310" s="3"/>
      <c r="B310" s="3"/>
      <c r="C310" s="3"/>
      <c r="D310" s="3"/>
      <c r="E310" s="3"/>
      <c r="F310" s="3"/>
    </row>
    <row r="311" spans="1:6" ht="15.75" customHeight="1">
      <c r="A311" s="3"/>
      <c r="B311" s="3"/>
      <c r="C311" s="3"/>
      <c r="D311" s="3"/>
      <c r="E311" s="3"/>
      <c r="F311" s="3"/>
    </row>
    <row r="312" spans="1:6" ht="15.75" customHeight="1">
      <c r="A312" s="3"/>
      <c r="B312" s="3"/>
      <c r="C312" s="3"/>
      <c r="D312" s="3"/>
      <c r="E312" s="3"/>
      <c r="F312" s="3"/>
    </row>
    <row r="313" spans="1:6" ht="15.75" customHeight="1">
      <c r="A313" s="3"/>
      <c r="B313" s="3"/>
      <c r="C313" s="3"/>
      <c r="D313" s="3"/>
      <c r="E313" s="3"/>
      <c r="F313" s="3"/>
    </row>
    <row r="314" spans="1:6" ht="15.75" customHeight="1">
      <c r="A314" s="3"/>
      <c r="B314" s="3"/>
      <c r="C314" s="3"/>
      <c r="D314" s="3"/>
      <c r="E314" s="3"/>
      <c r="F314" s="3"/>
    </row>
    <row r="315" spans="1:6" ht="15.75" customHeight="1">
      <c r="A315" s="3"/>
      <c r="B315" s="3"/>
      <c r="C315" s="3"/>
      <c r="D315" s="3"/>
      <c r="E315" s="3"/>
      <c r="F315" s="3"/>
    </row>
    <row r="316" spans="1:6" ht="15.75" customHeight="1">
      <c r="A316" s="3"/>
      <c r="B316" s="3"/>
      <c r="C316" s="3"/>
      <c r="D316" s="3"/>
      <c r="E316" s="3"/>
      <c r="F316" s="3"/>
    </row>
    <row r="317" spans="1:6" ht="15.75" customHeight="1">
      <c r="A317" s="3"/>
      <c r="B317" s="3"/>
      <c r="C317" s="3"/>
      <c r="D317" s="3"/>
      <c r="E317" s="3"/>
      <c r="F317" s="3"/>
    </row>
    <row r="318" spans="1:6" ht="15.75" customHeight="1">
      <c r="A318" s="3"/>
      <c r="B318" s="3"/>
      <c r="C318" s="3"/>
      <c r="D318" s="3"/>
      <c r="E318" s="3"/>
      <c r="F318" s="3"/>
    </row>
    <row r="319" spans="1:6" ht="15.75" customHeight="1">
      <c r="A319" s="3"/>
      <c r="B319" s="3"/>
      <c r="C319" s="3"/>
      <c r="D319" s="3"/>
      <c r="E319" s="3"/>
      <c r="F319" s="3"/>
    </row>
    <row r="320" spans="1:6" ht="15.75" customHeight="1">
      <c r="A320" s="3"/>
      <c r="B320" s="3"/>
      <c r="C320" s="3"/>
      <c r="D320" s="3"/>
      <c r="E320" s="3"/>
      <c r="F320" s="3"/>
    </row>
    <row r="321" spans="1:6" ht="15.75" customHeight="1">
      <c r="A321" s="3"/>
      <c r="B321" s="3"/>
      <c r="C321" s="3"/>
      <c r="D321" s="3"/>
      <c r="E321" s="3"/>
      <c r="F321" s="3"/>
    </row>
    <row r="322" spans="1:6" ht="15.75" customHeight="1">
      <c r="A322" s="3"/>
      <c r="B322" s="3"/>
      <c r="C322" s="3"/>
      <c r="D322" s="3"/>
      <c r="E322" s="3"/>
      <c r="F322" s="3"/>
    </row>
    <row r="323" spans="1:6" ht="15.75" customHeight="1">
      <c r="A323" s="3"/>
      <c r="B323" s="3"/>
      <c r="C323" s="3"/>
      <c r="D323" s="3"/>
      <c r="E323" s="3"/>
      <c r="F323" s="3"/>
    </row>
    <row r="324" spans="1:6" ht="15.75" customHeight="1">
      <c r="A324" s="3"/>
      <c r="B324" s="3"/>
      <c r="C324" s="3"/>
      <c r="D324" s="3"/>
      <c r="E324" s="3"/>
      <c r="F324" s="3"/>
    </row>
    <row r="325" spans="1:6" ht="15.75" customHeight="1">
      <c r="A325" s="3"/>
      <c r="B325" s="3"/>
      <c r="C325" s="3"/>
      <c r="D325" s="3"/>
      <c r="E325" s="3"/>
      <c r="F325" s="3"/>
    </row>
    <row r="326" spans="1:6" ht="15.75" customHeight="1">
      <c r="A326" s="3"/>
      <c r="B326" s="3"/>
      <c r="C326" s="3"/>
      <c r="D326" s="3"/>
      <c r="E326" s="3"/>
      <c r="F326" s="3"/>
    </row>
    <row r="327" spans="1:6" ht="15.75" customHeight="1">
      <c r="A327" s="3"/>
      <c r="B327" s="3"/>
      <c r="C327" s="3"/>
      <c r="D327" s="3"/>
      <c r="E327" s="3"/>
      <c r="F327" s="3"/>
    </row>
    <row r="328" spans="1:6" ht="15.75" customHeight="1">
      <c r="A328" s="3"/>
      <c r="B328" s="3"/>
      <c r="C328" s="3"/>
      <c r="D328" s="3"/>
      <c r="E328" s="3"/>
      <c r="F328" s="3"/>
    </row>
    <row r="329" spans="1:6" ht="15.75" customHeight="1">
      <c r="A329" s="3"/>
      <c r="B329" s="3"/>
      <c r="C329" s="3"/>
      <c r="D329" s="3"/>
      <c r="E329" s="3"/>
      <c r="F329" s="3"/>
    </row>
    <row r="330" spans="1:6" ht="15.75" customHeight="1">
      <c r="A330" s="3"/>
      <c r="B330" s="3"/>
      <c r="C330" s="3"/>
      <c r="D330" s="3"/>
      <c r="E330" s="3"/>
      <c r="F330" s="3"/>
    </row>
    <row r="331" spans="1:6" ht="15.75" customHeight="1">
      <c r="A331" s="3"/>
      <c r="B331" s="3"/>
      <c r="C331" s="3"/>
      <c r="D331" s="3"/>
      <c r="E331" s="3"/>
      <c r="F331" s="3"/>
    </row>
    <row r="332" spans="1:6" ht="15.75" customHeight="1">
      <c r="A332" s="3"/>
      <c r="B332" s="3"/>
      <c r="C332" s="3"/>
      <c r="D332" s="3"/>
      <c r="E332" s="3"/>
      <c r="F332" s="3"/>
    </row>
    <row r="333" spans="1:6" ht="15.75" customHeight="1">
      <c r="A333" s="3"/>
      <c r="B333" s="3"/>
      <c r="C333" s="3"/>
      <c r="D333" s="3"/>
      <c r="E333" s="3"/>
      <c r="F333" s="3"/>
    </row>
    <row r="334" spans="1:6" ht="15.75" customHeight="1">
      <c r="A334" s="3"/>
      <c r="B334" s="3"/>
      <c r="C334" s="3"/>
      <c r="D334" s="3"/>
      <c r="E334" s="3"/>
      <c r="F334" s="3"/>
    </row>
    <row r="335" spans="1:6" ht="15.75" customHeight="1">
      <c r="A335" s="3"/>
      <c r="B335" s="3"/>
      <c r="C335" s="3"/>
      <c r="D335" s="3"/>
      <c r="E335" s="3"/>
      <c r="F335" s="3"/>
    </row>
    <row r="336" spans="1:6" ht="15.75" customHeight="1">
      <c r="A336" s="3"/>
      <c r="B336" s="3"/>
      <c r="C336" s="3"/>
      <c r="D336" s="3"/>
      <c r="E336" s="3"/>
      <c r="F336" s="3"/>
    </row>
    <row r="337" spans="1:6" ht="15.75" customHeight="1">
      <c r="A337" s="3"/>
      <c r="B337" s="3"/>
      <c r="C337" s="3"/>
      <c r="D337" s="3"/>
      <c r="E337" s="3"/>
      <c r="F337" s="3"/>
    </row>
    <row r="338" spans="1:6" ht="15.75" customHeight="1">
      <c r="A338" s="3"/>
      <c r="B338" s="3"/>
      <c r="C338" s="3"/>
      <c r="D338" s="3"/>
      <c r="E338" s="3"/>
      <c r="F338" s="3"/>
    </row>
    <row r="339" spans="1:6" ht="15.75" customHeight="1">
      <c r="A339" s="3"/>
      <c r="B339" s="3"/>
      <c r="C339" s="3"/>
      <c r="D339" s="3"/>
      <c r="E339" s="3"/>
      <c r="F339" s="3"/>
    </row>
    <row r="340" spans="1:6" ht="15.75" customHeight="1">
      <c r="A340" s="3"/>
      <c r="B340" s="3"/>
      <c r="C340" s="3"/>
      <c r="D340" s="3"/>
      <c r="E340" s="3"/>
      <c r="F340" s="3"/>
    </row>
    <row r="341" spans="1:6" ht="15.75" customHeight="1">
      <c r="A341" s="3"/>
      <c r="B341" s="3"/>
      <c r="C341" s="3"/>
      <c r="D341" s="3"/>
      <c r="E341" s="3"/>
      <c r="F341" s="3"/>
    </row>
    <row r="342" spans="1:6" ht="15.75" customHeight="1">
      <c r="A342" s="3"/>
      <c r="B342" s="3"/>
      <c r="C342" s="3"/>
      <c r="D342" s="3"/>
      <c r="E342" s="3"/>
      <c r="F342" s="3"/>
    </row>
    <row r="343" spans="1:6" ht="15.75" customHeight="1">
      <c r="A343" s="3"/>
      <c r="B343" s="3"/>
      <c r="C343" s="3"/>
      <c r="D343" s="3"/>
      <c r="E343" s="3"/>
      <c r="F343" s="3"/>
    </row>
    <row r="344" spans="1:6" ht="15.75" customHeight="1">
      <c r="A344" s="3"/>
      <c r="B344" s="3"/>
      <c r="C344" s="3"/>
      <c r="D344" s="3"/>
      <c r="E344" s="3"/>
      <c r="F344" s="3"/>
    </row>
    <row r="345" spans="1:6" ht="15.75" customHeight="1">
      <c r="A345" s="3"/>
      <c r="B345" s="3"/>
      <c r="C345" s="3"/>
      <c r="D345" s="3"/>
      <c r="E345" s="3"/>
      <c r="F345" s="3"/>
    </row>
    <row r="346" spans="1:6" ht="15.75" customHeight="1">
      <c r="A346" s="3"/>
      <c r="B346" s="3"/>
      <c r="C346" s="3"/>
      <c r="D346" s="3"/>
      <c r="E346" s="3"/>
      <c r="F346" s="3"/>
    </row>
    <row r="347" spans="1:6" ht="15.75" customHeight="1">
      <c r="A347" s="3"/>
      <c r="B347" s="3"/>
      <c r="C347" s="3"/>
      <c r="D347" s="3"/>
      <c r="E347" s="3"/>
      <c r="F347" s="3"/>
    </row>
    <row r="348" spans="1:6" ht="15.75" customHeight="1">
      <c r="A348" s="3"/>
      <c r="B348" s="3"/>
      <c r="C348" s="3"/>
      <c r="D348" s="3"/>
      <c r="E348" s="3"/>
      <c r="F348" s="3"/>
    </row>
    <row r="349" spans="1:6" ht="15.75" customHeight="1">
      <c r="A349" s="3"/>
      <c r="B349" s="3"/>
      <c r="C349" s="3"/>
      <c r="D349" s="3"/>
      <c r="E349" s="3"/>
      <c r="F349" s="3"/>
    </row>
    <row r="350" spans="1:6" ht="15.75" customHeight="1">
      <c r="A350" s="3"/>
      <c r="B350" s="3"/>
      <c r="C350" s="3"/>
      <c r="D350" s="3"/>
      <c r="E350" s="3"/>
      <c r="F350" s="3"/>
    </row>
    <row r="351" spans="1:6" ht="15.75" customHeight="1">
      <c r="A351" s="3"/>
      <c r="B351" s="3"/>
      <c r="C351" s="3"/>
      <c r="D351" s="3"/>
      <c r="E351" s="3"/>
      <c r="F351" s="3"/>
    </row>
    <row r="352" spans="1:6" ht="15.75" customHeight="1">
      <c r="A352" s="3"/>
      <c r="B352" s="3"/>
      <c r="C352" s="3"/>
      <c r="D352" s="3"/>
      <c r="E352" s="3"/>
      <c r="F352" s="3"/>
    </row>
    <row r="353" spans="1:6" ht="15.75" customHeight="1">
      <c r="A353" s="3"/>
      <c r="B353" s="3"/>
      <c r="C353" s="3"/>
      <c r="D353" s="3"/>
      <c r="E353" s="3"/>
      <c r="F353" s="3"/>
    </row>
    <row r="354" spans="1:6" ht="15.75" customHeight="1">
      <c r="A354" s="3"/>
      <c r="B354" s="3"/>
      <c r="C354" s="3"/>
      <c r="D354" s="3"/>
      <c r="E354" s="3"/>
      <c r="F354" s="3"/>
    </row>
    <row r="355" spans="1:6" ht="15.75" customHeight="1">
      <c r="A355" s="3"/>
      <c r="B355" s="3"/>
      <c r="C355" s="3"/>
      <c r="D355" s="3"/>
      <c r="E355" s="3"/>
      <c r="F355" s="3"/>
    </row>
    <row r="356" spans="1:6" ht="15.75" customHeight="1">
      <c r="A356" s="3"/>
      <c r="B356" s="3"/>
      <c r="C356" s="3"/>
      <c r="D356" s="3"/>
      <c r="E356" s="3"/>
      <c r="F356" s="3"/>
    </row>
    <row r="357" spans="1:6" ht="15.75" customHeight="1">
      <c r="A357" s="3"/>
      <c r="B357" s="3"/>
      <c r="C357" s="3"/>
      <c r="D357" s="3"/>
      <c r="E357" s="3"/>
      <c r="F357" s="3"/>
    </row>
    <row r="358" spans="1:6" ht="15.75" customHeight="1">
      <c r="A358" s="3"/>
      <c r="B358" s="3"/>
      <c r="C358" s="3"/>
      <c r="D358" s="3"/>
      <c r="E358" s="3"/>
      <c r="F358" s="3"/>
    </row>
    <row r="359" spans="1:6" ht="15.75" customHeight="1">
      <c r="A359" s="3"/>
      <c r="B359" s="3"/>
      <c r="C359" s="3"/>
      <c r="D359" s="3"/>
      <c r="E359" s="3"/>
      <c r="F359" s="3"/>
    </row>
    <row r="360" spans="1:6" ht="15.75" customHeight="1">
      <c r="A360" s="3"/>
      <c r="B360" s="3"/>
      <c r="C360" s="3"/>
      <c r="D360" s="3"/>
      <c r="E360" s="3"/>
      <c r="F360" s="3"/>
    </row>
    <row r="361" spans="1:6" ht="15.75" customHeight="1">
      <c r="A361" s="3"/>
      <c r="B361" s="3"/>
      <c r="C361" s="3"/>
      <c r="D361" s="3"/>
      <c r="E361" s="3"/>
      <c r="F361" s="3"/>
    </row>
    <row r="362" spans="1:6" ht="15.75" customHeight="1">
      <c r="A362" s="3"/>
      <c r="B362" s="3"/>
      <c r="C362" s="3"/>
      <c r="D362" s="3"/>
      <c r="E362" s="3"/>
      <c r="F362" s="3"/>
    </row>
    <row r="363" spans="1:6" ht="15.75" customHeight="1">
      <c r="A363" s="3"/>
      <c r="B363" s="3"/>
      <c r="C363" s="3"/>
      <c r="D363" s="3"/>
      <c r="E363" s="3"/>
      <c r="F363" s="3"/>
    </row>
    <row r="364" spans="1:6" ht="15.75" customHeight="1">
      <c r="A364" s="3"/>
      <c r="B364" s="3"/>
      <c r="C364" s="3"/>
      <c r="D364" s="3"/>
      <c r="E364" s="3"/>
      <c r="F364" s="3"/>
    </row>
    <row r="365" spans="1:6" ht="15.75" customHeight="1">
      <c r="A365" s="3"/>
      <c r="B365" s="3"/>
      <c r="C365" s="3"/>
      <c r="D365" s="3"/>
      <c r="E365" s="3"/>
      <c r="F365" s="3"/>
    </row>
    <row r="366" spans="1:6" ht="15.75" customHeight="1">
      <c r="A366" s="3"/>
      <c r="B366" s="3"/>
      <c r="C366" s="3"/>
      <c r="D366" s="3"/>
      <c r="E366" s="3"/>
      <c r="F366" s="3"/>
    </row>
    <row r="367" spans="1:6" ht="15.75" customHeight="1">
      <c r="A367" s="3"/>
      <c r="B367" s="3"/>
      <c r="C367" s="3"/>
      <c r="D367" s="3"/>
      <c r="E367" s="3"/>
      <c r="F367" s="3"/>
    </row>
    <row r="368" spans="1:6" ht="15.75" customHeight="1">
      <c r="A368" s="3"/>
      <c r="B368" s="3"/>
      <c r="C368" s="3"/>
      <c r="D368" s="3"/>
      <c r="E368" s="3"/>
      <c r="F368" s="3"/>
    </row>
    <row r="369" spans="1:6" ht="15.75" customHeight="1">
      <c r="A369" s="3"/>
      <c r="B369" s="3"/>
      <c r="C369" s="3"/>
      <c r="D369" s="3"/>
      <c r="E369" s="3"/>
      <c r="F369" s="3"/>
    </row>
    <row r="370" spans="1:6" ht="15.75" customHeight="1">
      <c r="A370" s="3"/>
      <c r="B370" s="3"/>
      <c r="C370" s="3"/>
      <c r="D370" s="3"/>
      <c r="E370" s="3"/>
      <c r="F370" s="3"/>
    </row>
    <row r="371" spans="1:6" ht="15.75" customHeight="1">
      <c r="A371" s="3"/>
      <c r="B371" s="3"/>
      <c r="C371" s="3"/>
      <c r="D371" s="3"/>
      <c r="E371" s="3"/>
      <c r="F371" s="3"/>
    </row>
    <row r="372" spans="1:6" ht="15.75" customHeight="1">
      <c r="A372" s="3"/>
      <c r="B372" s="3"/>
      <c r="C372" s="3"/>
      <c r="D372" s="3"/>
      <c r="E372" s="3"/>
      <c r="F372" s="3"/>
    </row>
    <row r="373" spans="1:6" ht="15.75" customHeight="1">
      <c r="A373" s="3"/>
      <c r="B373" s="3"/>
      <c r="C373" s="3"/>
      <c r="D373" s="3"/>
      <c r="E373" s="3"/>
      <c r="F373" s="3"/>
    </row>
    <row r="374" spans="1:6" ht="15.75" customHeight="1">
      <c r="A374" s="3"/>
      <c r="B374" s="3"/>
      <c r="C374" s="3"/>
      <c r="D374" s="3"/>
      <c r="E374" s="3"/>
      <c r="F374" s="3"/>
    </row>
    <row r="375" spans="1:6" ht="15.75" customHeight="1">
      <c r="A375" s="3"/>
      <c r="B375" s="3"/>
      <c r="C375" s="3"/>
      <c r="D375" s="3"/>
      <c r="E375" s="3"/>
      <c r="F375" s="3"/>
    </row>
    <row r="376" spans="1:6" ht="15.75" customHeight="1">
      <c r="A376" s="3"/>
      <c r="B376" s="3"/>
      <c r="C376" s="3"/>
      <c r="D376" s="3"/>
      <c r="E376" s="3"/>
      <c r="F376" s="3"/>
    </row>
    <row r="377" spans="1:6" ht="15.75" customHeight="1">
      <c r="A377" s="3"/>
      <c r="B377" s="3"/>
      <c r="C377" s="3"/>
      <c r="D377" s="3"/>
      <c r="E377" s="3"/>
      <c r="F377" s="3"/>
    </row>
    <row r="378" spans="1:6" ht="15.75" customHeight="1">
      <c r="A378" s="3"/>
      <c r="B378" s="3"/>
      <c r="C378" s="3"/>
      <c r="D378" s="3"/>
      <c r="E378" s="3"/>
      <c r="F378" s="3"/>
    </row>
    <row r="379" spans="1:6" ht="15.75" customHeight="1">
      <c r="A379" s="3"/>
      <c r="B379" s="3"/>
      <c r="C379" s="3"/>
      <c r="D379" s="3"/>
      <c r="E379" s="3"/>
      <c r="F379" s="3"/>
    </row>
    <row r="380" spans="1:6" ht="15.75" customHeight="1">
      <c r="A380" s="3"/>
      <c r="B380" s="3"/>
      <c r="C380" s="3"/>
      <c r="D380" s="3"/>
      <c r="E380" s="3"/>
      <c r="F380" s="3"/>
    </row>
    <row r="381" spans="1:6" ht="15.75" customHeight="1">
      <c r="A381" s="3"/>
      <c r="B381" s="3"/>
      <c r="C381" s="3"/>
      <c r="D381" s="3"/>
      <c r="E381" s="3"/>
      <c r="F381" s="3"/>
    </row>
    <row r="382" spans="1:6" ht="15.75" customHeight="1">
      <c r="A382" s="3"/>
      <c r="B382" s="3"/>
      <c r="C382" s="3"/>
      <c r="D382" s="3"/>
      <c r="E382" s="3"/>
      <c r="F382" s="3"/>
    </row>
    <row r="383" spans="1:6" ht="15.75" customHeight="1">
      <c r="A383" s="3"/>
      <c r="B383" s="3"/>
      <c r="C383" s="3"/>
      <c r="D383" s="3"/>
      <c r="E383" s="3"/>
      <c r="F383" s="3"/>
    </row>
    <row r="384" spans="1:6" ht="15.75" customHeight="1">
      <c r="A384" s="3"/>
      <c r="B384" s="3"/>
      <c r="C384" s="3"/>
      <c r="D384" s="3"/>
      <c r="E384" s="3"/>
      <c r="F384" s="3"/>
    </row>
    <row r="385" spans="1:6" ht="15.75" customHeight="1">
      <c r="A385" s="3"/>
      <c r="B385" s="3"/>
      <c r="C385" s="3"/>
      <c r="D385" s="3"/>
      <c r="E385" s="3"/>
      <c r="F385" s="3"/>
    </row>
    <row r="386" spans="1:6" ht="15.75" customHeight="1">
      <c r="A386" s="3"/>
      <c r="B386" s="3"/>
      <c r="C386" s="3"/>
      <c r="D386" s="3"/>
      <c r="E386" s="3"/>
      <c r="F386" s="3"/>
    </row>
    <row r="387" spans="1:6" ht="15.75" customHeight="1">
      <c r="A387" s="3"/>
      <c r="B387" s="3"/>
      <c r="C387" s="3"/>
      <c r="D387" s="3"/>
      <c r="E387" s="3"/>
      <c r="F387" s="3"/>
    </row>
    <row r="388" spans="1:6" ht="15.75" customHeight="1">
      <c r="A388" s="3"/>
      <c r="B388" s="3"/>
      <c r="C388" s="3"/>
      <c r="D388" s="3"/>
      <c r="E388" s="3"/>
      <c r="F388" s="3"/>
    </row>
    <row r="389" spans="1:6" ht="15.75" customHeight="1">
      <c r="A389" s="3"/>
      <c r="B389" s="3"/>
      <c r="C389" s="3"/>
      <c r="D389" s="3"/>
      <c r="E389" s="3"/>
      <c r="F389" s="3"/>
    </row>
    <row r="390" spans="1:6" ht="15.75" customHeight="1">
      <c r="A390" s="3"/>
      <c r="B390" s="3"/>
      <c r="C390" s="3"/>
      <c r="D390" s="3"/>
      <c r="E390" s="3"/>
      <c r="F390" s="3"/>
    </row>
    <row r="391" spans="1:6" ht="15.75" customHeight="1">
      <c r="A391" s="3"/>
      <c r="B391" s="3"/>
      <c r="C391" s="3"/>
      <c r="D391" s="3"/>
      <c r="E391" s="3"/>
      <c r="F391" s="3"/>
    </row>
    <row r="392" spans="1:6" ht="15.75" customHeight="1">
      <c r="A392" s="3"/>
      <c r="B392" s="3"/>
      <c r="C392" s="3"/>
      <c r="D392" s="3"/>
      <c r="E392" s="3"/>
      <c r="F392" s="3"/>
    </row>
    <row r="393" spans="1:6" ht="15.75" customHeight="1">
      <c r="A393" s="3"/>
      <c r="B393" s="3"/>
      <c r="C393" s="3"/>
      <c r="D393" s="3"/>
      <c r="E393" s="3"/>
      <c r="F393" s="3"/>
    </row>
    <row r="394" spans="1:6" ht="15.75" customHeight="1">
      <c r="A394" s="3"/>
      <c r="B394" s="3"/>
      <c r="C394" s="3"/>
      <c r="D394" s="3"/>
      <c r="E394" s="3"/>
      <c r="F394" s="3"/>
    </row>
    <row r="395" spans="1:6" ht="15.75" customHeight="1">
      <c r="A395" s="3"/>
      <c r="B395" s="3"/>
      <c r="C395" s="3"/>
      <c r="D395" s="3"/>
      <c r="E395" s="3"/>
      <c r="F395" s="3"/>
    </row>
    <row r="396" spans="1:6" ht="15.75" customHeight="1">
      <c r="A396" s="3"/>
      <c r="B396" s="3"/>
      <c r="C396" s="3"/>
      <c r="D396" s="3"/>
      <c r="E396" s="3"/>
      <c r="F396" s="3"/>
    </row>
    <row r="397" spans="1:6" ht="15.75" customHeight="1">
      <c r="A397" s="3"/>
      <c r="B397" s="3"/>
      <c r="C397" s="3"/>
      <c r="D397" s="3"/>
      <c r="E397" s="3"/>
      <c r="F397" s="3"/>
    </row>
    <row r="398" spans="1:6" ht="15.75" customHeight="1">
      <c r="A398" s="3"/>
      <c r="B398" s="3"/>
      <c r="C398" s="3"/>
      <c r="D398" s="3"/>
      <c r="E398" s="3"/>
      <c r="F398" s="3"/>
    </row>
    <row r="399" spans="1:6" ht="15.75" customHeight="1">
      <c r="A399" s="3"/>
      <c r="B399" s="3"/>
      <c r="C399" s="3"/>
      <c r="D399" s="3"/>
      <c r="E399" s="3"/>
      <c r="F399" s="3"/>
    </row>
    <row r="400" spans="1:6" ht="15.75" customHeight="1">
      <c r="A400" s="3"/>
      <c r="B400" s="3"/>
      <c r="C400" s="3"/>
      <c r="D400" s="3"/>
      <c r="E400" s="3"/>
      <c r="F400" s="3"/>
    </row>
    <row r="401" spans="1:6" ht="15.75" customHeight="1">
      <c r="A401" s="3"/>
      <c r="B401" s="3"/>
      <c r="C401" s="3"/>
      <c r="D401" s="3"/>
      <c r="E401" s="3"/>
      <c r="F401" s="3"/>
    </row>
    <row r="402" spans="1:6" ht="15.75" customHeight="1">
      <c r="A402" s="3"/>
      <c r="B402" s="3"/>
      <c r="C402" s="3"/>
      <c r="D402" s="3"/>
      <c r="E402" s="3"/>
      <c r="F402" s="3"/>
    </row>
    <row r="403" spans="1:6" ht="15.75" customHeight="1">
      <c r="A403" s="3"/>
      <c r="B403" s="3"/>
      <c r="C403" s="3"/>
      <c r="D403" s="3"/>
      <c r="E403" s="3"/>
      <c r="F403" s="3"/>
    </row>
    <row r="404" spans="1:6" ht="15.75" customHeight="1">
      <c r="A404" s="3"/>
      <c r="B404" s="3"/>
      <c r="C404" s="3"/>
      <c r="D404" s="3"/>
      <c r="E404" s="3"/>
      <c r="F404" s="3"/>
    </row>
    <row r="405" spans="1:6" ht="15.75" customHeight="1">
      <c r="A405" s="3"/>
      <c r="B405" s="3"/>
      <c r="C405" s="3"/>
      <c r="D405" s="3"/>
      <c r="E405" s="3"/>
      <c r="F405" s="3"/>
    </row>
    <row r="406" spans="1:6" ht="15.75" customHeight="1">
      <c r="A406" s="3"/>
      <c r="B406" s="3"/>
      <c r="C406" s="3"/>
      <c r="D406" s="3"/>
      <c r="E406" s="3"/>
      <c r="F406" s="3"/>
    </row>
    <row r="407" spans="1:6" ht="15.75" customHeight="1">
      <c r="A407" s="3"/>
      <c r="B407" s="3"/>
      <c r="C407" s="3"/>
      <c r="D407" s="3"/>
      <c r="E407" s="3"/>
      <c r="F407" s="3"/>
    </row>
    <row r="408" spans="1:6" ht="15.75" customHeight="1">
      <c r="A408" s="3"/>
      <c r="B408" s="3"/>
      <c r="C408" s="3"/>
      <c r="D408" s="3"/>
      <c r="E408" s="3"/>
      <c r="F408" s="3"/>
    </row>
    <row r="409" spans="1:6" ht="15.75" customHeight="1">
      <c r="A409" s="3"/>
      <c r="B409" s="3"/>
      <c r="C409" s="3"/>
      <c r="D409" s="3"/>
      <c r="E409" s="3"/>
      <c r="F409" s="3"/>
    </row>
    <row r="410" spans="1:6" ht="15.75" customHeight="1">
      <c r="A410" s="3"/>
      <c r="B410" s="3"/>
      <c r="C410" s="3"/>
      <c r="D410" s="3"/>
      <c r="E410" s="3"/>
      <c r="F410" s="3"/>
    </row>
    <row r="411" spans="1:6" ht="15.75" customHeight="1">
      <c r="A411" s="3"/>
      <c r="B411" s="3"/>
      <c r="C411" s="3"/>
      <c r="D411" s="3"/>
      <c r="E411" s="3"/>
      <c r="F411" s="3"/>
    </row>
    <row r="412" spans="1:6" ht="15.75" customHeight="1">
      <c r="A412" s="3"/>
      <c r="B412" s="3"/>
      <c r="C412" s="3"/>
      <c r="D412" s="3"/>
      <c r="E412" s="3"/>
      <c r="F412" s="3"/>
    </row>
    <row r="413" spans="1:6" ht="15.75" customHeight="1">
      <c r="A413" s="3"/>
      <c r="B413" s="3"/>
      <c r="C413" s="3"/>
      <c r="D413" s="3"/>
      <c r="E413" s="3"/>
      <c r="F413" s="3"/>
    </row>
    <row r="414" spans="1:6" ht="15.75" customHeight="1">
      <c r="A414" s="3"/>
      <c r="B414" s="3"/>
      <c r="C414" s="3"/>
      <c r="D414" s="3"/>
      <c r="E414" s="3"/>
      <c r="F414" s="3"/>
    </row>
    <row r="415" spans="1:6" ht="15.75" customHeight="1">
      <c r="A415" s="3"/>
      <c r="B415" s="3"/>
      <c r="C415" s="3"/>
      <c r="D415" s="3"/>
      <c r="E415" s="3"/>
      <c r="F415" s="3"/>
    </row>
    <row r="416" spans="1:6" ht="15.75" customHeight="1">
      <c r="A416" s="3"/>
      <c r="B416" s="3"/>
      <c r="C416" s="3"/>
      <c r="D416" s="3"/>
      <c r="E416" s="3"/>
      <c r="F416" s="3"/>
    </row>
    <row r="417" spans="1:6" ht="15.75" customHeight="1">
      <c r="A417" s="3"/>
      <c r="B417" s="3"/>
      <c r="C417" s="3"/>
      <c r="D417" s="3"/>
      <c r="E417" s="3"/>
      <c r="F417" s="3"/>
    </row>
    <row r="418" spans="1:6" ht="15.75" customHeight="1">
      <c r="A418" s="3"/>
      <c r="B418" s="3"/>
      <c r="C418" s="3"/>
      <c r="D418" s="3"/>
      <c r="E418" s="3"/>
      <c r="F418" s="3"/>
    </row>
    <row r="419" spans="1:6" ht="15.75" customHeight="1">
      <c r="A419" s="3"/>
      <c r="B419" s="3"/>
      <c r="C419" s="3"/>
      <c r="D419" s="3"/>
      <c r="E419" s="3"/>
      <c r="F419" s="3"/>
    </row>
    <row r="420" spans="1:6" ht="15.75" customHeight="1">
      <c r="A420" s="3"/>
      <c r="B420" s="3"/>
      <c r="C420" s="3"/>
      <c r="D420" s="3"/>
      <c r="E420" s="3"/>
      <c r="F420" s="3"/>
    </row>
    <row r="421" spans="1:6" ht="15.75" customHeight="1">
      <c r="A421" s="3"/>
      <c r="B421" s="3"/>
      <c r="C421" s="3"/>
      <c r="D421" s="3"/>
      <c r="E421" s="3"/>
      <c r="F421" s="3"/>
    </row>
    <row r="422" spans="1:6" ht="15.75" customHeight="1">
      <c r="A422" s="3"/>
      <c r="B422" s="3"/>
      <c r="C422" s="3"/>
      <c r="D422" s="3"/>
      <c r="E422" s="3"/>
      <c r="F422" s="3"/>
    </row>
    <row r="423" spans="1:6" ht="15.75" customHeight="1">
      <c r="A423" s="3"/>
      <c r="B423" s="3"/>
      <c r="C423" s="3"/>
      <c r="D423" s="3"/>
      <c r="E423" s="3"/>
      <c r="F423" s="3"/>
    </row>
    <row r="424" spans="1:6" ht="15.75" customHeight="1">
      <c r="A424" s="3"/>
      <c r="B424" s="3"/>
      <c r="C424" s="3"/>
      <c r="D424" s="3"/>
      <c r="E424" s="3"/>
      <c r="F424" s="3"/>
    </row>
    <row r="425" spans="1:6" ht="15.75" customHeight="1">
      <c r="A425" s="3"/>
      <c r="B425" s="3"/>
      <c r="C425" s="3"/>
      <c r="D425" s="3"/>
      <c r="E425" s="3"/>
      <c r="F425" s="3"/>
    </row>
    <row r="426" spans="1:6" ht="15.75" customHeight="1">
      <c r="A426" s="3"/>
      <c r="B426" s="3"/>
      <c r="C426" s="3"/>
      <c r="D426" s="3"/>
      <c r="E426" s="3"/>
      <c r="F426" s="3"/>
    </row>
    <row r="427" spans="1:6" ht="15.75" customHeight="1">
      <c r="A427" s="3"/>
      <c r="B427" s="3"/>
      <c r="C427" s="3"/>
      <c r="D427" s="3"/>
      <c r="E427" s="3"/>
      <c r="F427" s="3"/>
    </row>
    <row r="428" spans="1:6" ht="15.75" customHeight="1">
      <c r="A428" s="3"/>
      <c r="B428" s="3"/>
      <c r="C428" s="3"/>
      <c r="D428" s="3"/>
      <c r="E428" s="3"/>
      <c r="F428" s="3"/>
    </row>
    <row r="429" spans="1:6" ht="15.75" customHeight="1">
      <c r="A429" s="3"/>
      <c r="B429" s="3"/>
      <c r="C429" s="3"/>
      <c r="D429" s="3"/>
      <c r="E429" s="3"/>
      <c r="F429" s="3"/>
    </row>
    <row r="430" spans="1:6" ht="15.75" customHeight="1">
      <c r="A430" s="3"/>
      <c r="B430" s="3"/>
      <c r="C430" s="3"/>
      <c r="D430" s="3"/>
      <c r="E430" s="3"/>
      <c r="F430" s="3"/>
    </row>
    <row r="431" spans="1:6" ht="15.75" customHeight="1">
      <c r="A431" s="3"/>
      <c r="B431" s="3"/>
      <c r="C431" s="3"/>
      <c r="D431" s="3"/>
      <c r="E431" s="3"/>
      <c r="F431" s="3"/>
    </row>
    <row r="432" spans="1:6" ht="15.75" customHeight="1">
      <c r="A432" s="3"/>
      <c r="B432" s="3"/>
      <c r="C432" s="3"/>
      <c r="D432" s="3"/>
      <c r="E432" s="3"/>
      <c r="F432" s="3"/>
    </row>
    <row r="433" spans="1:6" ht="15.75" customHeight="1">
      <c r="A433" s="3"/>
      <c r="B433" s="3"/>
      <c r="C433" s="3"/>
      <c r="D433" s="3"/>
      <c r="E433" s="3"/>
      <c r="F433" s="3"/>
    </row>
    <row r="434" spans="1:6" ht="15.75" customHeight="1">
      <c r="A434" s="3"/>
      <c r="B434" s="3"/>
      <c r="C434" s="3"/>
      <c r="D434" s="3"/>
      <c r="E434" s="3"/>
      <c r="F434" s="3"/>
    </row>
    <row r="435" spans="1:6" ht="15.75" customHeight="1">
      <c r="A435" s="3"/>
      <c r="B435" s="3"/>
      <c r="C435" s="3"/>
      <c r="D435" s="3"/>
      <c r="E435" s="3"/>
      <c r="F435" s="3"/>
    </row>
    <row r="436" spans="1:6" ht="15.75" customHeight="1">
      <c r="A436" s="3"/>
      <c r="B436" s="3"/>
      <c r="C436" s="3"/>
      <c r="D436" s="3"/>
      <c r="E436" s="3"/>
      <c r="F436" s="3"/>
    </row>
    <row r="437" spans="1:6" ht="15.75" customHeight="1">
      <c r="A437" s="3"/>
      <c r="B437" s="3"/>
      <c r="C437" s="3"/>
      <c r="D437" s="3"/>
      <c r="E437" s="3"/>
      <c r="F437" s="3"/>
    </row>
    <row r="438" spans="1:6" ht="15.75" customHeight="1">
      <c r="A438" s="3"/>
      <c r="B438" s="3"/>
      <c r="C438" s="3"/>
      <c r="D438" s="3"/>
      <c r="E438" s="3"/>
      <c r="F438" s="3"/>
    </row>
    <row r="439" spans="1:6" ht="15.75" customHeight="1">
      <c r="A439" s="3"/>
      <c r="B439" s="3"/>
      <c r="C439" s="3"/>
      <c r="D439" s="3"/>
      <c r="E439" s="3"/>
      <c r="F439" s="3"/>
    </row>
    <row r="440" spans="1:6" ht="15.75" customHeight="1">
      <c r="A440" s="3"/>
      <c r="B440" s="3"/>
      <c r="C440" s="3"/>
      <c r="D440" s="3"/>
      <c r="E440" s="3"/>
      <c r="F440" s="3"/>
    </row>
    <row r="441" spans="1:6" ht="15.75" customHeight="1">
      <c r="A441" s="3"/>
      <c r="B441" s="3"/>
      <c r="C441" s="3"/>
      <c r="D441" s="3"/>
      <c r="E441" s="3"/>
      <c r="F441" s="3"/>
    </row>
    <row r="442" spans="1:6" ht="15.75" customHeight="1">
      <c r="A442" s="3"/>
      <c r="B442" s="3"/>
      <c r="C442" s="3"/>
      <c r="D442" s="3"/>
      <c r="E442" s="3"/>
      <c r="F442" s="3"/>
    </row>
    <row r="443" spans="1:6" ht="15.75" customHeight="1">
      <c r="A443" s="3"/>
      <c r="B443" s="3"/>
      <c r="C443" s="3"/>
      <c r="D443" s="3"/>
      <c r="E443" s="3"/>
      <c r="F443" s="3"/>
    </row>
    <row r="444" spans="1:6" ht="15.75" customHeight="1">
      <c r="A444" s="3"/>
      <c r="B444" s="3"/>
      <c r="C444" s="3"/>
      <c r="D444" s="3"/>
      <c r="E444" s="3"/>
      <c r="F444" s="3"/>
    </row>
    <row r="445" spans="1:6" ht="15.75" customHeight="1">
      <c r="A445" s="3"/>
      <c r="B445" s="3"/>
      <c r="C445" s="3"/>
      <c r="D445" s="3"/>
      <c r="E445" s="3"/>
      <c r="F445" s="3"/>
    </row>
    <row r="446" spans="1:6" ht="15.75" customHeight="1">
      <c r="A446" s="3"/>
      <c r="B446" s="3"/>
      <c r="C446" s="3"/>
      <c r="D446" s="3"/>
      <c r="E446" s="3"/>
      <c r="F446" s="3"/>
    </row>
    <row r="447" spans="1:6" ht="15.75" customHeight="1">
      <c r="A447" s="3"/>
      <c r="B447" s="3"/>
      <c r="C447" s="3"/>
      <c r="D447" s="3"/>
      <c r="E447" s="3"/>
      <c r="F447" s="3"/>
    </row>
    <row r="448" spans="1:6" ht="15.75" customHeight="1">
      <c r="A448" s="3"/>
      <c r="B448" s="3"/>
      <c r="C448" s="3"/>
      <c r="D448" s="3"/>
      <c r="E448" s="3"/>
      <c r="F448" s="3"/>
    </row>
    <row r="449" spans="1:6" ht="15.75" customHeight="1">
      <c r="A449" s="3"/>
      <c r="B449" s="3"/>
      <c r="C449" s="3"/>
      <c r="D449" s="3"/>
      <c r="E449" s="3"/>
      <c r="F449" s="3"/>
    </row>
    <row r="450" spans="1:6" ht="15.75" customHeight="1">
      <c r="A450" s="3"/>
      <c r="B450" s="3"/>
      <c r="C450" s="3"/>
      <c r="D450" s="3"/>
      <c r="E450" s="3"/>
      <c r="F450" s="3"/>
    </row>
    <row r="451" spans="1:6" ht="15.75" customHeight="1">
      <c r="A451" s="3"/>
      <c r="B451" s="3"/>
      <c r="C451" s="3"/>
      <c r="D451" s="3"/>
      <c r="E451" s="3"/>
      <c r="F451" s="3"/>
    </row>
    <row r="452" spans="1:6" ht="15.75" customHeight="1">
      <c r="A452" s="3"/>
      <c r="B452" s="3"/>
      <c r="C452" s="3"/>
      <c r="D452" s="3"/>
      <c r="E452" s="3"/>
      <c r="F452" s="3"/>
    </row>
    <row r="453" spans="1:6" ht="15.75" customHeight="1">
      <c r="A453" s="3"/>
      <c r="B453" s="3"/>
      <c r="C453" s="3"/>
      <c r="D453" s="3"/>
      <c r="E453" s="3"/>
      <c r="F453" s="3"/>
    </row>
    <row r="454" spans="1:6" ht="15.75" customHeight="1">
      <c r="A454" s="3"/>
      <c r="B454" s="3"/>
      <c r="C454" s="3"/>
      <c r="D454" s="3"/>
      <c r="E454" s="3"/>
      <c r="F454" s="3"/>
    </row>
    <row r="455" spans="1:6" ht="15.75" customHeight="1">
      <c r="A455" s="3"/>
      <c r="B455" s="3"/>
      <c r="C455" s="3"/>
      <c r="D455" s="3"/>
      <c r="E455" s="3"/>
      <c r="F455" s="3"/>
    </row>
    <row r="456" spans="1:6" ht="15.75" customHeight="1">
      <c r="A456" s="3"/>
      <c r="B456" s="3"/>
      <c r="C456" s="3"/>
      <c r="D456" s="3"/>
      <c r="E456" s="3"/>
      <c r="F456" s="3"/>
    </row>
    <row r="457" spans="1:6" ht="15.75" customHeight="1">
      <c r="A457" s="3"/>
      <c r="B457" s="3"/>
      <c r="C457" s="3"/>
      <c r="D457" s="3"/>
      <c r="E457" s="3"/>
      <c r="F457" s="3"/>
    </row>
    <row r="458" spans="1:6" ht="15.75" customHeight="1">
      <c r="A458" s="3"/>
      <c r="B458" s="3"/>
      <c r="C458" s="3"/>
      <c r="D458" s="3"/>
      <c r="E458" s="3"/>
      <c r="F458" s="3"/>
    </row>
    <row r="459" spans="1:6" ht="15.75" customHeight="1">
      <c r="A459" s="3"/>
      <c r="B459" s="3"/>
      <c r="C459" s="3"/>
      <c r="D459" s="3"/>
      <c r="E459" s="3"/>
      <c r="F459" s="3"/>
    </row>
    <row r="460" spans="1:6" ht="15.75" customHeight="1">
      <c r="A460" s="3"/>
      <c r="B460" s="3"/>
      <c r="C460" s="3"/>
      <c r="D460" s="3"/>
      <c r="E460" s="3"/>
      <c r="F460" s="3"/>
    </row>
    <row r="461" spans="1:6" ht="15.75" customHeight="1">
      <c r="A461" s="3"/>
      <c r="B461" s="3"/>
      <c r="C461" s="3"/>
      <c r="D461" s="3"/>
      <c r="E461" s="3"/>
      <c r="F461" s="3"/>
    </row>
    <row r="462" spans="1:6" ht="15.75" customHeight="1">
      <c r="A462" s="3"/>
      <c r="B462" s="3"/>
      <c r="C462" s="3"/>
      <c r="D462" s="3"/>
      <c r="E462" s="3"/>
      <c r="F462" s="3"/>
    </row>
    <row r="463" spans="1:6" ht="15.75" customHeight="1">
      <c r="A463" s="3"/>
      <c r="B463" s="3"/>
      <c r="C463" s="3"/>
      <c r="D463" s="3"/>
      <c r="E463" s="3"/>
      <c r="F463" s="3"/>
    </row>
    <row r="464" spans="1:6" ht="15.75" customHeight="1">
      <c r="A464" s="3"/>
      <c r="B464" s="3"/>
      <c r="C464" s="3"/>
      <c r="D464" s="3"/>
      <c r="E464" s="3"/>
      <c r="F464" s="3"/>
    </row>
    <row r="465" spans="1:6" ht="15.75" customHeight="1">
      <c r="A465" s="3"/>
      <c r="B465" s="3"/>
      <c r="C465" s="3"/>
      <c r="D465" s="3"/>
      <c r="E465" s="3"/>
      <c r="F465" s="3"/>
    </row>
    <row r="466" spans="1:6" ht="15.75" customHeight="1">
      <c r="A466" s="3"/>
      <c r="B466" s="3"/>
      <c r="C466" s="3"/>
      <c r="D466" s="3"/>
      <c r="E466" s="3"/>
      <c r="F466" s="3"/>
    </row>
    <row r="467" spans="1:6" ht="15.75" customHeight="1">
      <c r="A467" s="3"/>
      <c r="B467" s="3"/>
      <c r="C467" s="3"/>
      <c r="D467" s="3"/>
      <c r="E467" s="3"/>
      <c r="F467" s="3"/>
    </row>
    <row r="468" spans="1:6" ht="15.75" customHeight="1">
      <c r="A468" s="3"/>
      <c r="B468" s="3"/>
      <c r="C468" s="3"/>
      <c r="D468" s="3"/>
      <c r="E468" s="3"/>
      <c r="F468" s="3"/>
    </row>
    <row r="469" spans="1:6" ht="15.75" customHeight="1">
      <c r="A469" s="3"/>
      <c r="B469" s="3"/>
      <c r="C469" s="3"/>
      <c r="D469" s="3"/>
      <c r="E469" s="3"/>
      <c r="F469" s="3"/>
    </row>
    <row r="470" spans="1:6" ht="15.75" customHeight="1">
      <c r="A470" s="3"/>
      <c r="B470" s="3"/>
      <c r="C470" s="3"/>
      <c r="D470" s="3"/>
      <c r="E470" s="3"/>
      <c r="F470" s="3"/>
    </row>
    <row r="471" spans="1:6" ht="15.75" customHeight="1">
      <c r="A471" s="3"/>
      <c r="B471" s="3"/>
      <c r="C471" s="3"/>
      <c r="D471" s="3"/>
      <c r="E471" s="3"/>
      <c r="F471" s="3"/>
    </row>
    <row r="472" spans="1:6" ht="15.75" customHeight="1">
      <c r="A472" s="3"/>
      <c r="B472" s="3"/>
      <c r="C472" s="3"/>
      <c r="D472" s="3"/>
      <c r="E472" s="3"/>
      <c r="F472" s="3"/>
    </row>
    <row r="473" spans="1:6" ht="15.75" customHeight="1">
      <c r="A473" s="3"/>
      <c r="B473" s="3"/>
      <c r="C473" s="3"/>
      <c r="D473" s="3"/>
      <c r="E473" s="3"/>
      <c r="F473" s="3"/>
    </row>
    <row r="474" spans="1:6" ht="15.75" customHeight="1">
      <c r="A474" s="3"/>
      <c r="B474" s="3"/>
      <c r="C474" s="3"/>
      <c r="D474" s="3"/>
      <c r="E474" s="3"/>
      <c r="F474" s="3"/>
    </row>
    <row r="475" spans="1:6" ht="15.75" customHeight="1">
      <c r="A475" s="3"/>
      <c r="B475" s="3"/>
      <c r="C475" s="3"/>
      <c r="D475" s="3"/>
      <c r="E475" s="3"/>
      <c r="F475" s="3"/>
    </row>
    <row r="476" spans="1:6" ht="15.75" customHeight="1">
      <c r="A476" s="3"/>
      <c r="B476" s="3"/>
      <c r="C476" s="3"/>
      <c r="D476" s="3"/>
      <c r="E476" s="3"/>
      <c r="F476" s="3"/>
    </row>
    <row r="477" spans="1:6" ht="15.75" customHeight="1">
      <c r="A477" s="3"/>
      <c r="B477" s="3"/>
      <c r="C477" s="3"/>
      <c r="D477" s="3"/>
      <c r="E477" s="3"/>
      <c r="F477" s="3"/>
    </row>
    <row r="478" spans="1:6" ht="15.75" customHeight="1">
      <c r="A478" s="3"/>
      <c r="B478" s="3"/>
      <c r="C478" s="3"/>
      <c r="D478" s="3"/>
      <c r="E478" s="3"/>
      <c r="F478" s="3"/>
    </row>
    <row r="479" spans="1:6" ht="15.75" customHeight="1">
      <c r="A479" s="3"/>
      <c r="B479" s="3"/>
      <c r="C479" s="3"/>
      <c r="D479" s="3"/>
      <c r="E479" s="3"/>
      <c r="F479" s="3"/>
    </row>
    <row r="480" spans="1:6" ht="15.75" customHeight="1">
      <c r="A480" s="3"/>
      <c r="B480" s="3"/>
      <c r="C480" s="3"/>
      <c r="D480" s="3"/>
      <c r="E480" s="3"/>
      <c r="F480" s="3"/>
    </row>
    <row r="481" spans="1:6" ht="15.75" customHeight="1">
      <c r="A481" s="3"/>
      <c r="B481" s="3"/>
      <c r="C481" s="3"/>
      <c r="D481" s="3"/>
      <c r="E481" s="3"/>
      <c r="F481" s="3"/>
    </row>
    <row r="482" spans="1:6" ht="15.75" customHeight="1">
      <c r="A482" s="3"/>
      <c r="B482" s="3"/>
      <c r="C482" s="3"/>
      <c r="D482" s="3"/>
      <c r="E482" s="3"/>
      <c r="F482" s="3"/>
    </row>
    <row r="483" spans="1:6" ht="15.75" customHeight="1">
      <c r="A483" s="3"/>
      <c r="B483" s="3"/>
      <c r="C483" s="3"/>
      <c r="D483" s="3"/>
      <c r="E483" s="3"/>
      <c r="F483" s="3"/>
    </row>
    <row r="484" spans="1:6" ht="15.75" customHeight="1">
      <c r="A484" s="3"/>
      <c r="B484" s="3"/>
      <c r="C484" s="3"/>
      <c r="D484" s="3"/>
      <c r="E484" s="3"/>
      <c r="F484" s="3"/>
    </row>
    <row r="485" spans="1:6" ht="15.75" customHeight="1">
      <c r="A485" s="3"/>
      <c r="B485" s="3"/>
      <c r="C485" s="3"/>
      <c r="D485" s="3"/>
      <c r="E485" s="3"/>
      <c r="F485" s="3"/>
    </row>
    <row r="486" spans="1:6" ht="15.75" customHeight="1">
      <c r="A486" s="3"/>
      <c r="B486" s="3"/>
      <c r="C486" s="3"/>
      <c r="D486" s="3"/>
      <c r="E486" s="3"/>
      <c r="F486" s="3"/>
    </row>
    <row r="487" spans="1:6" ht="15.75" customHeight="1">
      <c r="A487" s="3"/>
      <c r="B487" s="3"/>
      <c r="C487" s="3"/>
      <c r="D487" s="3"/>
      <c r="E487" s="3"/>
      <c r="F487" s="3"/>
    </row>
    <row r="488" spans="1:6" ht="15.75" customHeight="1">
      <c r="A488" s="3"/>
      <c r="B488" s="3"/>
      <c r="C488" s="3"/>
      <c r="D488" s="3"/>
      <c r="E488" s="3"/>
      <c r="F488" s="3"/>
    </row>
    <row r="489" spans="1:6" ht="15.75" customHeight="1">
      <c r="A489" s="3"/>
      <c r="B489" s="3"/>
      <c r="C489" s="3"/>
      <c r="D489" s="3"/>
      <c r="E489" s="3"/>
      <c r="F489" s="3"/>
    </row>
    <row r="490" spans="1:6" ht="15.75" customHeight="1">
      <c r="A490" s="3"/>
      <c r="B490" s="3"/>
      <c r="C490" s="3"/>
      <c r="D490" s="3"/>
      <c r="E490" s="3"/>
      <c r="F490" s="3"/>
    </row>
    <row r="491" spans="1:6" ht="15.75" customHeight="1">
      <c r="A491" s="3"/>
      <c r="B491" s="3"/>
      <c r="C491" s="3"/>
      <c r="D491" s="3"/>
      <c r="E491" s="3"/>
      <c r="F491" s="3"/>
    </row>
    <row r="492" spans="1:6" ht="15.75" customHeight="1">
      <c r="A492" s="3"/>
      <c r="B492" s="3"/>
      <c r="C492" s="3"/>
      <c r="D492" s="3"/>
      <c r="E492" s="3"/>
      <c r="F492" s="3"/>
    </row>
    <row r="493" spans="1:6" ht="15.75" customHeight="1">
      <c r="A493" s="3"/>
      <c r="B493" s="3"/>
      <c r="C493" s="3"/>
      <c r="D493" s="3"/>
      <c r="E493" s="3"/>
      <c r="F493" s="3"/>
    </row>
    <row r="494" spans="1:6" ht="15.75" customHeight="1">
      <c r="A494" s="3"/>
      <c r="B494" s="3"/>
      <c r="C494" s="3"/>
      <c r="D494" s="3"/>
      <c r="E494" s="3"/>
      <c r="F494" s="3"/>
    </row>
    <row r="495" spans="1:6" ht="15.75" customHeight="1">
      <c r="A495" s="3"/>
      <c r="B495" s="3"/>
      <c r="C495" s="3"/>
      <c r="D495" s="3"/>
      <c r="E495" s="3"/>
      <c r="F495" s="3"/>
    </row>
    <row r="496" spans="1:6" ht="15.75" customHeight="1">
      <c r="A496" s="3"/>
      <c r="B496" s="3"/>
      <c r="C496" s="3"/>
      <c r="D496" s="3"/>
      <c r="E496" s="3"/>
      <c r="F496" s="3"/>
    </row>
    <row r="497" spans="1:6" ht="15.75" customHeight="1">
      <c r="A497" s="3"/>
      <c r="B497" s="3"/>
      <c r="C497" s="3"/>
      <c r="D497" s="3"/>
      <c r="E497" s="3"/>
      <c r="F497" s="3"/>
    </row>
    <row r="498" spans="1:6" ht="15.75" customHeight="1">
      <c r="A498" s="3"/>
      <c r="B498" s="3"/>
      <c r="C498" s="3"/>
      <c r="D498" s="3"/>
      <c r="E498" s="3"/>
      <c r="F498" s="3"/>
    </row>
    <row r="499" spans="1:6" ht="15.75" customHeight="1">
      <c r="A499" s="3"/>
      <c r="B499" s="3"/>
      <c r="C499" s="3"/>
      <c r="D499" s="3"/>
      <c r="E499" s="3"/>
      <c r="F499" s="3"/>
    </row>
    <row r="500" spans="1:6" ht="15.75" customHeight="1">
      <c r="A500" s="3"/>
      <c r="B500" s="3"/>
      <c r="C500" s="3"/>
      <c r="D500" s="3"/>
      <c r="E500" s="3"/>
      <c r="F500" s="3"/>
    </row>
    <row r="501" spans="1:6" ht="15.75" customHeight="1">
      <c r="A501" s="3"/>
      <c r="B501" s="3"/>
      <c r="C501" s="3"/>
      <c r="D501" s="3"/>
      <c r="E501" s="3"/>
      <c r="F501" s="3"/>
    </row>
    <row r="502" spans="1:6" ht="15.75" customHeight="1">
      <c r="A502" s="3"/>
      <c r="B502" s="3"/>
      <c r="C502" s="3"/>
      <c r="D502" s="3"/>
      <c r="E502" s="3"/>
      <c r="F502" s="3"/>
    </row>
    <row r="503" spans="1:6" ht="15.75" customHeight="1">
      <c r="A503" s="3"/>
      <c r="B503" s="3"/>
      <c r="C503" s="3"/>
      <c r="D503" s="3"/>
      <c r="E503" s="3"/>
      <c r="F503" s="3"/>
    </row>
    <row r="504" spans="1:6" ht="15.75" customHeight="1">
      <c r="A504" s="3"/>
      <c r="B504" s="3"/>
      <c r="C504" s="3"/>
      <c r="D504" s="3"/>
      <c r="E504" s="3"/>
      <c r="F504" s="3"/>
    </row>
    <row r="505" spans="1:6" ht="15.75" customHeight="1">
      <c r="A505" s="3"/>
      <c r="B505" s="3"/>
      <c r="C505" s="3"/>
      <c r="D505" s="3"/>
      <c r="E505" s="3"/>
      <c r="F505" s="3"/>
    </row>
    <row r="506" spans="1:6" ht="15.75" customHeight="1">
      <c r="A506" s="3"/>
      <c r="B506" s="3"/>
      <c r="C506" s="3"/>
      <c r="D506" s="3"/>
      <c r="E506" s="3"/>
      <c r="F506" s="3"/>
    </row>
    <row r="507" spans="1:6" ht="15.75" customHeight="1">
      <c r="A507" s="3"/>
      <c r="B507" s="3"/>
      <c r="C507" s="3"/>
      <c r="D507" s="3"/>
      <c r="E507" s="3"/>
      <c r="F507" s="3"/>
    </row>
    <row r="508" spans="1:6" ht="15.75" customHeight="1">
      <c r="A508" s="3"/>
      <c r="B508" s="3"/>
      <c r="C508" s="3"/>
      <c r="D508" s="3"/>
      <c r="E508" s="3"/>
      <c r="F508" s="3"/>
    </row>
    <row r="509" spans="1:6" ht="15.75" customHeight="1">
      <c r="A509" s="3"/>
      <c r="B509" s="3"/>
      <c r="C509" s="3"/>
      <c r="D509" s="3"/>
      <c r="E509" s="3"/>
      <c r="F509" s="3"/>
    </row>
    <row r="510" spans="1:6" ht="15.75" customHeight="1">
      <c r="A510" s="3"/>
      <c r="B510" s="3"/>
      <c r="C510" s="3"/>
      <c r="D510" s="3"/>
      <c r="E510" s="3"/>
      <c r="F510" s="3"/>
    </row>
    <row r="511" spans="1:6" ht="15.75" customHeight="1">
      <c r="A511" s="3"/>
      <c r="B511" s="3"/>
      <c r="C511" s="3"/>
      <c r="D511" s="3"/>
      <c r="E511" s="3"/>
      <c r="F511" s="3"/>
    </row>
    <row r="512" spans="1:6" ht="15.75" customHeight="1">
      <c r="A512" s="3"/>
      <c r="B512" s="3"/>
      <c r="C512" s="3"/>
      <c r="D512" s="3"/>
      <c r="E512" s="3"/>
      <c r="F512" s="3"/>
    </row>
    <row r="513" spans="1:6" ht="15.75" customHeight="1">
      <c r="A513" s="3"/>
      <c r="B513" s="3"/>
      <c r="C513" s="3"/>
      <c r="D513" s="3"/>
      <c r="E513" s="3"/>
      <c r="F513" s="3"/>
    </row>
    <row r="514" spans="1:6" ht="15.75" customHeight="1">
      <c r="A514" s="3"/>
      <c r="B514" s="3"/>
      <c r="C514" s="3"/>
      <c r="D514" s="3"/>
      <c r="E514" s="3"/>
      <c r="F514" s="3"/>
    </row>
    <row r="515" spans="1:6" ht="15.75" customHeight="1">
      <c r="A515" s="3"/>
      <c r="B515" s="3"/>
      <c r="C515" s="3"/>
      <c r="D515" s="3"/>
      <c r="E515" s="3"/>
      <c r="F515" s="3"/>
    </row>
    <row r="516" spans="1:6" ht="15.75" customHeight="1">
      <c r="A516" s="3"/>
      <c r="B516" s="3"/>
      <c r="C516" s="3"/>
      <c r="D516" s="3"/>
      <c r="E516" s="3"/>
      <c r="F516" s="3"/>
    </row>
    <row r="517" spans="1:6" ht="15.75" customHeight="1">
      <c r="A517" s="3"/>
      <c r="B517" s="3"/>
      <c r="C517" s="3"/>
      <c r="D517" s="3"/>
      <c r="E517" s="3"/>
      <c r="F517" s="3"/>
    </row>
    <row r="518" spans="1:6" ht="15.75" customHeight="1">
      <c r="A518" s="3"/>
      <c r="B518" s="3"/>
      <c r="C518" s="3"/>
      <c r="D518" s="3"/>
      <c r="E518" s="3"/>
      <c r="F518" s="3"/>
    </row>
    <row r="519" spans="1:6" ht="15.75" customHeight="1">
      <c r="A519" s="3"/>
      <c r="B519" s="3"/>
      <c r="C519" s="3"/>
      <c r="D519" s="3"/>
      <c r="E519" s="3"/>
      <c r="F519" s="3"/>
    </row>
    <row r="520" spans="1:6" ht="15.75" customHeight="1">
      <c r="A520" s="3"/>
      <c r="B520" s="3"/>
      <c r="C520" s="3"/>
      <c r="D520" s="3"/>
      <c r="E520" s="3"/>
      <c r="F520" s="3"/>
    </row>
    <row r="521" spans="1:6" ht="15.75" customHeight="1">
      <c r="A521" s="3"/>
      <c r="B521" s="3"/>
      <c r="C521" s="3"/>
      <c r="D521" s="3"/>
      <c r="E521" s="3"/>
      <c r="F521" s="3"/>
    </row>
    <row r="522" spans="1:6" ht="15.75" customHeight="1">
      <c r="A522" s="3"/>
      <c r="B522" s="3"/>
      <c r="C522" s="3"/>
      <c r="D522" s="3"/>
      <c r="E522" s="3"/>
      <c r="F522" s="3"/>
    </row>
    <row r="523" spans="1:6" ht="15.75" customHeight="1">
      <c r="A523" s="3"/>
      <c r="B523" s="3"/>
      <c r="C523" s="3"/>
      <c r="D523" s="3"/>
      <c r="E523" s="3"/>
      <c r="F523" s="3"/>
    </row>
    <row r="524" spans="1:6" ht="15.75" customHeight="1">
      <c r="A524" s="3"/>
      <c r="B524" s="3"/>
      <c r="C524" s="3"/>
      <c r="D524" s="3"/>
      <c r="E524" s="3"/>
      <c r="F524" s="3"/>
    </row>
    <row r="525" spans="1:6" ht="15.75" customHeight="1">
      <c r="A525" s="3"/>
      <c r="B525" s="3"/>
      <c r="C525" s="3"/>
      <c r="D525" s="3"/>
      <c r="E525" s="3"/>
      <c r="F525" s="3"/>
    </row>
    <row r="526" spans="1:6" ht="15.75" customHeight="1">
      <c r="A526" s="3"/>
      <c r="B526" s="3"/>
      <c r="C526" s="3"/>
      <c r="D526" s="3"/>
      <c r="E526" s="3"/>
      <c r="F526" s="3"/>
    </row>
    <row r="527" spans="1:6" ht="15.75" customHeight="1">
      <c r="A527" s="3"/>
      <c r="B527" s="3"/>
      <c r="C527" s="3"/>
      <c r="D527" s="3"/>
      <c r="E527" s="3"/>
      <c r="F527" s="3"/>
    </row>
    <row r="528" spans="1:6" ht="15.75" customHeight="1">
      <c r="A528" s="3"/>
      <c r="B528" s="3"/>
      <c r="C528" s="3"/>
      <c r="D528" s="3"/>
      <c r="E528" s="3"/>
      <c r="F528" s="3"/>
    </row>
    <row r="529" spans="1:6" ht="15.75" customHeight="1">
      <c r="A529" s="3"/>
      <c r="B529" s="3"/>
      <c r="C529" s="3"/>
      <c r="D529" s="3"/>
      <c r="E529" s="3"/>
      <c r="F529" s="3"/>
    </row>
    <row r="530" spans="1:6" ht="15.75" customHeight="1">
      <c r="A530" s="3"/>
      <c r="B530" s="3"/>
      <c r="C530" s="3"/>
      <c r="D530" s="3"/>
      <c r="E530" s="3"/>
      <c r="F530" s="3"/>
    </row>
    <row r="531" spans="1:6" ht="15.75" customHeight="1">
      <c r="A531" s="3"/>
      <c r="B531" s="3"/>
      <c r="C531" s="3"/>
      <c r="D531" s="3"/>
      <c r="E531" s="3"/>
      <c r="F531" s="3"/>
    </row>
    <row r="532" spans="1:6" ht="15.75" customHeight="1">
      <c r="A532" s="3"/>
      <c r="B532" s="3"/>
      <c r="C532" s="3"/>
      <c r="D532" s="3"/>
      <c r="E532" s="3"/>
      <c r="F532" s="3"/>
    </row>
    <row r="533" spans="1:6" ht="15.75" customHeight="1">
      <c r="A533" s="3"/>
      <c r="B533" s="3"/>
      <c r="C533" s="3"/>
      <c r="D533" s="3"/>
      <c r="E533" s="3"/>
      <c r="F533" s="3"/>
    </row>
    <row r="534" spans="1:6" ht="15.75" customHeight="1">
      <c r="A534" s="3"/>
      <c r="B534" s="3"/>
      <c r="C534" s="3"/>
      <c r="D534" s="3"/>
      <c r="E534" s="3"/>
      <c r="F534" s="3"/>
    </row>
    <row r="535" spans="1:6" ht="15.75" customHeight="1">
      <c r="A535" s="3"/>
      <c r="B535" s="3"/>
      <c r="C535" s="3"/>
      <c r="D535" s="3"/>
      <c r="E535" s="3"/>
      <c r="F535" s="3"/>
    </row>
    <row r="536" spans="1:6" ht="15.75" customHeight="1">
      <c r="A536" s="3"/>
      <c r="B536" s="3"/>
      <c r="C536" s="3"/>
      <c r="D536" s="3"/>
      <c r="E536" s="3"/>
      <c r="F536" s="3"/>
    </row>
    <row r="537" spans="1:6" ht="15.75" customHeight="1">
      <c r="A537" s="3"/>
      <c r="B537" s="3"/>
      <c r="C537" s="3"/>
      <c r="D537" s="3"/>
      <c r="E537" s="3"/>
      <c r="F537" s="3"/>
    </row>
    <row r="538" spans="1:6" ht="15.75" customHeight="1">
      <c r="A538" s="3"/>
      <c r="B538" s="3"/>
      <c r="C538" s="3"/>
      <c r="D538" s="3"/>
      <c r="E538" s="3"/>
      <c r="F538" s="3"/>
    </row>
    <row r="539" spans="1:6" ht="15.75" customHeight="1">
      <c r="A539" s="3"/>
      <c r="B539" s="3"/>
      <c r="C539" s="3"/>
      <c r="D539" s="3"/>
      <c r="E539" s="3"/>
      <c r="F539" s="3"/>
    </row>
    <row r="540" spans="1:6" ht="15.75" customHeight="1">
      <c r="A540" s="3"/>
      <c r="B540" s="3"/>
      <c r="C540" s="3"/>
      <c r="D540" s="3"/>
      <c r="E540" s="3"/>
      <c r="F540" s="3"/>
    </row>
    <row r="541" spans="1:6" ht="15.75" customHeight="1">
      <c r="A541" s="3"/>
      <c r="B541" s="3"/>
      <c r="C541" s="3"/>
      <c r="D541" s="3"/>
      <c r="E541" s="3"/>
      <c r="F541" s="3"/>
    </row>
    <row r="542" spans="1:6" ht="15.75" customHeight="1">
      <c r="A542" s="3"/>
      <c r="B542" s="3"/>
      <c r="C542" s="3"/>
      <c r="D542" s="3"/>
      <c r="E542" s="3"/>
      <c r="F542" s="3"/>
    </row>
    <row r="543" spans="1:6" ht="15.75" customHeight="1">
      <c r="A543" s="3"/>
      <c r="B543" s="3"/>
      <c r="C543" s="3"/>
      <c r="D543" s="3"/>
      <c r="E543" s="3"/>
      <c r="F543" s="3"/>
    </row>
    <row r="544" spans="1:6" ht="15.75" customHeight="1">
      <c r="A544" s="3"/>
      <c r="B544" s="3"/>
      <c r="C544" s="3"/>
      <c r="D544" s="3"/>
      <c r="E544" s="3"/>
      <c r="F544" s="3"/>
    </row>
    <row r="545" spans="1:6" ht="15.75" customHeight="1">
      <c r="A545" s="3"/>
      <c r="B545" s="3"/>
      <c r="C545" s="3"/>
      <c r="D545" s="3"/>
      <c r="E545" s="3"/>
      <c r="F545" s="3"/>
    </row>
    <row r="546" spans="1:6" ht="15.75" customHeight="1">
      <c r="A546" s="3"/>
      <c r="B546" s="3"/>
      <c r="C546" s="3"/>
      <c r="D546" s="3"/>
      <c r="E546" s="3"/>
      <c r="F546" s="3"/>
    </row>
    <row r="547" spans="1:6" ht="15.75" customHeight="1">
      <c r="A547" s="3"/>
      <c r="B547" s="3"/>
      <c r="C547" s="3"/>
      <c r="D547" s="3"/>
      <c r="E547" s="3"/>
      <c r="F547" s="3"/>
    </row>
    <row r="548" spans="1:6" ht="15.75" customHeight="1">
      <c r="A548" s="3"/>
      <c r="B548" s="3"/>
      <c r="C548" s="3"/>
      <c r="D548" s="3"/>
      <c r="E548" s="3"/>
      <c r="F548" s="3"/>
    </row>
    <row r="549" spans="1:6" ht="15.75" customHeight="1">
      <c r="A549" s="3"/>
      <c r="B549" s="3"/>
      <c r="C549" s="3"/>
      <c r="D549" s="3"/>
      <c r="E549" s="3"/>
      <c r="F549" s="3"/>
    </row>
    <row r="550" spans="1:6" ht="15.75" customHeight="1">
      <c r="A550" s="3"/>
      <c r="B550" s="3"/>
      <c r="C550" s="3"/>
      <c r="D550" s="3"/>
      <c r="E550" s="3"/>
      <c r="F550" s="3"/>
    </row>
    <row r="551" spans="1:6" ht="15.75" customHeight="1">
      <c r="A551" s="3"/>
      <c r="B551" s="3"/>
      <c r="C551" s="3"/>
      <c r="D551" s="3"/>
      <c r="E551" s="3"/>
      <c r="F551" s="3"/>
    </row>
    <row r="552" spans="1:6" ht="15.75" customHeight="1">
      <c r="A552" s="3"/>
      <c r="B552" s="3"/>
      <c r="C552" s="3"/>
      <c r="D552" s="3"/>
      <c r="E552" s="3"/>
      <c r="F552" s="3"/>
    </row>
    <row r="553" spans="1:6" ht="15.75" customHeight="1">
      <c r="A553" s="3"/>
      <c r="B553" s="3"/>
      <c r="C553" s="3"/>
      <c r="D553" s="3"/>
      <c r="E553" s="3"/>
      <c r="F553" s="3"/>
    </row>
    <row r="554" spans="1:6" ht="15.75" customHeight="1">
      <c r="A554" s="3"/>
      <c r="B554" s="3"/>
      <c r="C554" s="3"/>
      <c r="D554" s="3"/>
      <c r="E554" s="3"/>
      <c r="F554" s="3"/>
    </row>
    <row r="555" spans="1:6" ht="15.75" customHeight="1">
      <c r="A555" s="3"/>
      <c r="B555" s="3"/>
      <c r="C555" s="3"/>
      <c r="D555" s="3"/>
      <c r="E555" s="3"/>
      <c r="F555" s="3"/>
    </row>
    <row r="556" spans="1:6" ht="15.75" customHeight="1">
      <c r="A556" s="3"/>
      <c r="B556" s="3"/>
      <c r="C556" s="3"/>
      <c r="D556" s="3"/>
      <c r="E556" s="3"/>
      <c r="F556" s="3"/>
    </row>
    <row r="557" spans="1:6" ht="15.75" customHeight="1">
      <c r="A557" s="3"/>
      <c r="B557" s="3"/>
      <c r="C557" s="3"/>
      <c r="D557" s="3"/>
      <c r="E557" s="3"/>
      <c r="F557" s="3"/>
    </row>
    <row r="558" spans="1:6" ht="15.75" customHeight="1">
      <c r="A558" s="3"/>
      <c r="B558" s="3"/>
      <c r="C558" s="3"/>
      <c r="D558" s="3"/>
      <c r="E558" s="3"/>
      <c r="F558" s="3"/>
    </row>
    <row r="559" spans="1:6" ht="15.75" customHeight="1">
      <c r="A559" s="3"/>
      <c r="B559" s="3"/>
      <c r="C559" s="3"/>
      <c r="D559" s="3"/>
      <c r="E559" s="3"/>
      <c r="F559" s="3"/>
    </row>
    <row r="560" spans="1:6" ht="15.75" customHeight="1">
      <c r="A560" s="3"/>
      <c r="B560" s="3"/>
      <c r="C560" s="3"/>
      <c r="D560" s="3"/>
      <c r="E560" s="3"/>
      <c r="F560" s="3"/>
    </row>
    <row r="561" spans="1:6" ht="15.75" customHeight="1">
      <c r="A561" s="3"/>
      <c r="B561" s="3"/>
      <c r="C561" s="3"/>
      <c r="D561" s="3"/>
      <c r="E561" s="3"/>
      <c r="F561" s="3"/>
    </row>
    <row r="562" spans="1:6" ht="15.75" customHeight="1">
      <c r="A562" s="3"/>
      <c r="B562" s="3"/>
      <c r="C562" s="3"/>
      <c r="D562" s="3"/>
      <c r="E562" s="3"/>
      <c r="F562" s="3"/>
    </row>
    <row r="563" spans="1:6" ht="15.75" customHeight="1">
      <c r="A563" s="3"/>
      <c r="B563" s="3"/>
      <c r="C563" s="3"/>
      <c r="D563" s="3"/>
      <c r="E563" s="3"/>
      <c r="F563" s="3"/>
    </row>
    <row r="564" spans="1:6" ht="15.75" customHeight="1">
      <c r="A564" s="3"/>
      <c r="B564" s="3"/>
      <c r="C564" s="3"/>
      <c r="D564" s="3"/>
      <c r="E564" s="3"/>
      <c r="F564" s="3"/>
    </row>
    <row r="565" spans="1:6" ht="15.75" customHeight="1">
      <c r="A565" s="3"/>
      <c r="B565" s="3"/>
      <c r="C565" s="3"/>
      <c r="D565" s="3"/>
      <c r="E565" s="3"/>
      <c r="F565" s="3"/>
    </row>
    <row r="566" spans="1:6" ht="15.75" customHeight="1">
      <c r="A566" s="3"/>
      <c r="B566" s="3"/>
      <c r="C566" s="3"/>
      <c r="D566" s="3"/>
      <c r="E566" s="3"/>
      <c r="F566" s="3"/>
    </row>
    <row r="567" spans="1:6" ht="15.75" customHeight="1">
      <c r="A567" s="3"/>
      <c r="B567" s="3"/>
      <c r="C567" s="3"/>
      <c r="D567" s="3"/>
      <c r="E567" s="3"/>
      <c r="F567" s="3"/>
    </row>
    <row r="568" spans="1:6" ht="15.75" customHeight="1">
      <c r="A568" s="3"/>
      <c r="B568" s="3"/>
      <c r="C568" s="3"/>
      <c r="D568" s="3"/>
      <c r="E568" s="3"/>
      <c r="F568" s="3"/>
    </row>
    <row r="569" spans="1:6" ht="15.75" customHeight="1">
      <c r="A569" s="3"/>
      <c r="B569" s="3"/>
      <c r="C569" s="3"/>
      <c r="D569" s="3"/>
      <c r="E569" s="3"/>
      <c r="F569" s="3"/>
    </row>
    <row r="570" spans="1:6" ht="15.75" customHeight="1">
      <c r="A570" s="3"/>
      <c r="B570" s="3"/>
      <c r="C570" s="3"/>
      <c r="D570" s="3"/>
      <c r="E570" s="3"/>
      <c r="F570" s="3"/>
    </row>
    <row r="571" spans="1:6" ht="15.75" customHeight="1">
      <c r="A571" s="3"/>
      <c r="B571" s="3"/>
      <c r="C571" s="3"/>
      <c r="D571" s="3"/>
      <c r="E571" s="3"/>
      <c r="F571" s="3"/>
    </row>
    <row r="572" spans="1:6" ht="15.75" customHeight="1">
      <c r="A572" s="3"/>
      <c r="B572" s="3"/>
      <c r="C572" s="3"/>
      <c r="D572" s="3"/>
      <c r="E572" s="3"/>
      <c r="F572" s="3"/>
    </row>
    <row r="573" spans="1:6" ht="15.75" customHeight="1">
      <c r="A573" s="3"/>
      <c r="B573" s="3"/>
      <c r="C573" s="3"/>
      <c r="D573" s="3"/>
      <c r="E573" s="3"/>
      <c r="F573" s="3"/>
    </row>
    <row r="574" spans="1:6" ht="15.75" customHeight="1">
      <c r="A574" s="3"/>
      <c r="B574" s="3"/>
      <c r="C574" s="3"/>
      <c r="D574" s="3"/>
      <c r="E574" s="3"/>
      <c r="F574" s="3"/>
    </row>
    <row r="575" spans="1:6" ht="15.75" customHeight="1">
      <c r="A575" s="3"/>
      <c r="B575" s="3"/>
      <c r="C575" s="3"/>
      <c r="D575" s="3"/>
      <c r="E575" s="3"/>
      <c r="F575" s="3"/>
    </row>
    <row r="576" spans="1:6" ht="15.75" customHeight="1">
      <c r="A576" s="3"/>
      <c r="B576" s="3"/>
      <c r="C576" s="3"/>
      <c r="D576" s="3"/>
      <c r="E576" s="3"/>
      <c r="F576" s="3"/>
    </row>
    <row r="577" spans="1:6" ht="15.75" customHeight="1">
      <c r="A577" s="3"/>
      <c r="B577" s="3"/>
      <c r="C577" s="3"/>
      <c r="D577" s="3"/>
      <c r="E577" s="3"/>
      <c r="F577" s="3"/>
    </row>
    <row r="578" spans="1:6" ht="15.75" customHeight="1">
      <c r="A578" s="3"/>
      <c r="B578" s="3"/>
      <c r="C578" s="3"/>
      <c r="D578" s="3"/>
      <c r="E578" s="3"/>
      <c r="F578" s="3"/>
    </row>
    <row r="579" spans="1:6" ht="15.75" customHeight="1">
      <c r="A579" s="3"/>
      <c r="B579" s="3"/>
      <c r="C579" s="3"/>
      <c r="D579" s="3"/>
      <c r="E579" s="3"/>
      <c r="F579" s="3"/>
    </row>
    <row r="580" spans="1:6" ht="15.75" customHeight="1">
      <c r="A580" s="3"/>
      <c r="B580" s="3"/>
      <c r="C580" s="3"/>
      <c r="D580" s="3"/>
      <c r="E580" s="3"/>
      <c r="F580" s="3"/>
    </row>
    <row r="581" spans="1:6" ht="15.75" customHeight="1">
      <c r="A581" s="3"/>
      <c r="B581" s="3"/>
      <c r="C581" s="3"/>
      <c r="D581" s="3"/>
      <c r="E581" s="3"/>
      <c r="F581" s="3"/>
    </row>
    <row r="582" spans="1:6" ht="15.75" customHeight="1">
      <c r="A582" s="3"/>
      <c r="B582" s="3"/>
      <c r="C582" s="3"/>
      <c r="D582" s="3"/>
      <c r="E582" s="3"/>
      <c r="F582" s="3"/>
    </row>
    <row r="583" spans="1:6" ht="15.75" customHeight="1">
      <c r="A583" s="3"/>
      <c r="B583" s="3"/>
      <c r="C583" s="3"/>
      <c r="D583" s="3"/>
      <c r="E583" s="3"/>
      <c r="F583" s="3"/>
    </row>
    <row r="584" spans="1:6" ht="15.75" customHeight="1">
      <c r="A584" s="3"/>
      <c r="B584" s="3"/>
      <c r="C584" s="3"/>
      <c r="D584" s="3"/>
      <c r="E584" s="3"/>
      <c r="F584" s="3"/>
    </row>
    <row r="585" spans="1:6" ht="15.75" customHeight="1">
      <c r="A585" s="3"/>
      <c r="B585" s="3"/>
      <c r="C585" s="3"/>
      <c r="D585" s="3"/>
      <c r="E585" s="3"/>
      <c r="F585" s="3"/>
    </row>
    <row r="586" spans="1:6" ht="15.75" customHeight="1">
      <c r="A586" s="3"/>
      <c r="B586" s="3"/>
      <c r="C586" s="3"/>
      <c r="D586" s="3"/>
      <c r="E586" s="3"/>
      <c r="F586" s="3"/>
    </row>
    <row r="587" spans="1:6" ht="15.75" customHeight="1">
      <c r="A587" s="3"/>
      <c r="B587" s="3"/>
      <c r="C587" s="3"/>
      <c r="D587" s="3"/>
      <c r="E587" s="3"/>
      <c r="F587" s="3"/>
    </row>
    <row r="588" spans="1:6" ht="15.75" customHeight="1">
      <c r="A588" s="3"/>
      <c r="B588" s="3"/>
      <c r="C588" s="3"/>
      <c r="D588" s="3"/>
      <c r="E588" s="3"/>
      <c r="F588" s="3"/>
    </row>
    <row r="589" spans="1:6" ht="15.75" customHeight="1">
      <c r="A589" s="3"/>
      <c r="B589" s="3"/>
      <c r="C589" s="3"/>
      <c r="D589" s="3"/>
      <c r="E589" s="3"/>
      <c r="F589" s="3"/>
    </row>
    <row r="590" spans="1:6" ht="15.75" customHeight="1">
      <c r="A590" s="3"/>
      <c r="B590" s="3"/>
      <c r="C590" s="3"/>
      <c r="D590" s="3"/>
      <c r="E590" s="3"/>
      <c r="F590" s="3"/>
    </row>
    <row r="591" spans="1:6" ht="15.75" customHeight="1">
      <c r="A591" s="3"/>
      <c r="B591" s="3"/>
      <c r="C591" s="3"/>
      <c r="D591" s="3"/>
      <c r="E591" s="3"/>
      <c r="F591" s="3"/>
    </row>
    <row r="592" spans="1:6" ht="15.75" customHeight="1">
      <c r="A592" s="3"/>
      <c r="B592" s="3"/>
      <c r="C592" s="3"/>
      <c r="D592" s="3"/>
      <c r="E592" s="3"/>
      <c r="F592" s="3"/>
    </row>
    <row r="593" spans="1:6" ht="15.75" customHeight="1">
      <c r="A593" s="3"/>
      <c r="B593" s="3"/>
      <c r="C593" s="3"/>
      <c r="D593" s="3"/>
      <c r="E593" s="3"/>
      <c r="F593" s="3"/>
    </row>
    <row r="594" spans="1:6" ht="15.75" customHeight="1">
      <c r="A594" s="3"/>
      <c r="B594" s="3"/>
      <c r="C594" s="3"/>
      <c r="D594" s="3"/>
      <c r="E594" s="3"/>
      <c r="F594" s="3"/>
    </row>
    <row r="595" spans="1:6" ht="15.75" customHeight="1">
      <c r="A595" s="3"/>
      <c r="B595" s="3"/>
      <c r="C595" s="3"/>
      <c r="D595" s="3"/>
      <c r="E595" s="3"/>
      <c r="F595" s="3"/>
    </row>
    <row r="596" spans="1:6" ht="15.75" customHeight="1">
      <c r="A596" s="3"/>
      <c r="B596" s="3"/>
      <c r="C596" s="3"/>
      <c r="D596" s="3"/>
      <c r="E596" s="3"/>
      <c r="F596" s="3"/>
    </row>
    <row r="597" spans="1:6" ht="15.75" customHeight="1">
      <c r="A597" s="3"/>
      <c r="B597" s="3"/>
      <c r="C597" s="3"/>
      <c r="D597" s="3"/>
      <c r="E597" s="3"/>
      <c r="F597" s="3"/>
    </row>
    <row r="598" spans="1:6" ht="15.75" customHeight="1">
      <c r="A598" s="3"/>
      <c r="B598" s="3"/>
      <c r="C598" s="3"/>
      <c r="D598" s="3"/>
      <c r="E598" s="3"/>
      <c r="F598" s="3"/>
    </row>
    <row r="599" spans="1:6" ht="15.75" customHeight="1">
      <c r="A599" s="3"/>
      <c r="B599" s="3"/>
      <c r="C599" s="3"/>
      <c r="D599" s="3"/>
      <c r="E599" s="3"/>
      <c r="F599" s="3"/>
    </row>
    <row r="600" spans="1:6" ht="15.75" customHeight="1">
      <c r="A600" s="3"/>
      <c r="B600" s="3"/>
      <c r="C600" s="3"/>
      <c r="D600" s="3"/>
      <c r="E600" s="3"/>
      <c r="F600" s="3"/>
    </row>
    <row r="601" spans="1:6" ht="15.75" customHeight="1">
      <c r="A601" s="3"/>
      <c r="B601" s="3"/>
      <c r="C601" s="3"/>
      <c r="D601" s="3"/>
      <c r="E601" s="3"/>
      <c r="F601" s="3"/>
    </row>
    <row r="602" spans="1:6" ht="15.75" customHeight="1">
      <c r="A602" s="3"/>
      <c r="B602" s="3"/>
      <c r="C602" s="3"/>
      <c r="D602" s="3"/>
      <c r="E602" s="3"/>
      <c r="F602" s="3"/>
    </row>
    <row r="603" spans="1:6" ht="15.75" customHeight="1">
      <c r="A603" s="3"/>
      <c r="B603" s="3"/>
      <c r="C603" s="3"/>
      <c r="D603" s="3"/>
      <c r="E603" s="3"/>
      <c r="F603" s="3"/>
    </row>
    <row r="604" spans="1:6" ht="15.75" customHeight="1">
      <c r="A604" s="3"/>
      <c r="B604" s="3"/>
      <c r="C604" s="3"/>
      <c r="D604" s="3"/>
      <c r="E604" s="3"/>
      <c r="F604" s="3"/>
    </row>
    <row r="605" spans="1:6" ht="15.75" customHeight="1">
      <c r="A605" s="3"/>
      <c r="B605" s="3"/>
      <c r="C605" s="3"/>
      <c r="D605" s="3"/>
      <c r="E605" s="3"/>
      <c r="F605" s="3"/>
    </row>
    <row r="606" spans="1:6" ht="15.75" customHeight="1">
      <c r="A606" s="3"/>
      <c r="B606" s="3"/>
      <c r="C606" s="3"/>
      <c r="D606" s="3"/>
      <c r="E606" s="3"/>
      <c r="F606" s="3"/>
    </row>
    <row r="607" spans="1:6" ht="15.75" customHeight="1">
      <c r="A607" s="3"/>
      <c r="B607" s="3"/>
      <c r="C607" s="3"/>
      <c r="D607" s="3"/>
      <c r="E607" s="3"/>
      <c r="F607" s="3"/>
    </row>
    <row r="608" spans="1:6" ht="15.75" customHeight="1">
      <c r="A608" s="3"/>
      <c r="B608" s="3"/>
      <c r="C608" s="3"/>
      <c r="D608" s="3"/>
      <c r="E608" s="3"/>
      <c r="F608" s="3"/>
    </row>
    <row r="609" spans="1:6" ht="15.75" customHeight="1">
      <c r="A609" s="3"/>
      <c r="B609" s="3"/>
      <c r="C609" s="3"/>
      <c r="D609" s="3"/>
      <c r="E609" s="3"/>
      <c r="F609" s="3"/>
    </row>
    <row r="610" spans="1:6" ht="15.75" customHeight="1">
      <c r="A610" s="3"/>
      <c r="B610" s="3"/>
      <c r="C610" s="3"/>
      <c r="D610" s="3"/>
      <c r="E610" s="3"/>
      <c r="F610" s="3"/>
    </row>
    <row r="611" spans="1:6" ht="15.75" customHeight="1">
      <c r="A611" s="3"/>
      <c r="B611" s="3"/>
      <c r="C611" s="3"/>
      <c r="D611" s="3"/>
      <c r="E611" s="3"/>
      <c r="F611" s="3"/>
    </row>
    <row r="612" spans="1:6" ht="15.75" customHeight="1">
      <c r="A612" s="3"/>
      <c r="B612" s="3"/>
      <c r="C612" s="3"/>
      <c r="D612" s="3"/>
      <c r="E612" s="3"/>
      <c r="F612" s="3"/>
    </row>
    <row r="613" spans="1:6" ht="15.75" customHeight="1">
      <c r="A613" s="3"/>
      <c r="B613" s="3"/>
      <c r="C613" s="3"/>
      <c r="D613" s="3"/>
      <c r="E613" s="3"/>
      <c r="F613" s="3"/>
    </row>
    <row r="614" spans="1:6" ht="15.75" customHeight="1">
      <c r="A614" s="3"/>
      <c r="B614" s="3"/>
      <c r="C614" s="3"/>
      <c r="D614" s="3"/>
      <c r="E614" s="3"/>
      <c r="F614" s="3"/>
    </row>
    <row r="615" spans="1:6" ht="15.75" customHeight="1">
      <c r="A615" s="3"/>
      <c r="B615" s="3"/>
      <c r="C615" s="3"/>
      <c r="D615" s="3"/>
      <c r="E615" s="3"/>
      <c r="F615" s="3"/>
    </row>
    <row r="616" spans="1:6" ht="15.75" customHeight="1">
      <c r="A616" s="3"/>
      <c r="B616" s="3"/>
      <c r="C616" s="3"/>
      <c r="D616" s="3"/>
      <c r="E616" s="3"/>
      <c r="F616" s="3"/>
    </row>
    <row r="617" spans="1:6" ht="15.75" customHeight="1">
      <c r="A617" s="3"/>
      <c r="B617" s="3"/>
      <c r="C617" s="3"/>
      <c r="D617" s="3"/>
      <c r="E617" s="3"/>
      <c r="F617" s="3"/>
    </row>
    <row r="618" spans="1:6" ht="15.75" customHeight="1">
      <c r="A618" s="3"/>
      <c r="B618" s="3"/>
      <c r="C618" s="3"/>
      <c r="D618" s="3"/>
      <c r="E618" s="3"/>
      <c r="F618" s="3"/>
    </row>
    <row r="619" spans="1:6" ht="15.75" customHeight="1">
      <c r="A619" s="3"/>
      <c r="B619" s="3"/>
      <c r="C619" s="3"/>
      <c r="D619" s="3"/>
      <c r="E619" s="3"/>
      <c r="F619" s="3"/>
    </row>
    <row r="620" spans="1:6" ht="15.75" customHeight="1">
      <c r="A620" s="3"/>
      <c r="B620" s="3"/>
      <c r="C620" s="3"/>
      <c r="D620" s="3"/>
      <c r="E620" s="3"/>
      <c r="F620" s="3"/>
    </row>
    <row r="621" spans="1:6" ht="15.75" customHeight="1">
      <c r="A621" s="3"/>
      <c r="B621" s="3"/>
      <c r="C621" s="3"/>
      <c r="D621" s="3"/>
      <c r="E621" s="3"/>
      <c r="F621" s="3"/>
    </row>
    <row r="622" spans="1:6" ht="15.75" customHeight="1">
      <c r="A622" s="3"/>
      <c r="B622" s="3"/>
      <c r="C622" s="3"/>
      <c r="D622" s="3"/>
      <c r="E622" s="3"/>
      <c r="F622" s="3"/>
    </row>
    <row r="623" spans="1:6" ht="15.75" customHeight="1">
      <c r="A623" s="3"/>
      <c r="B623" s="3"/>
      <c r="C623" s="3"/>
      <c r="D623" s="3"/>
      <c r="E623" s="3"/>
      <c r="F623" s="3"/>
    </row>
    <row r="624" spans="1:6" ht="15.75" customHeight="1">
      <c r="A624" s="3"/>
      <c r="B624" s="3"/>
      <c r="C624" s="3"/>
      <c r="D624" s="3"/>
      <c r="E624" s="3"/>
      <c r="F624" s="3"/>
    </row>
    <row r="625" spans="1:6" ht="15.75" customHeight="1">
      <c r="A625" s="3"/>
      <c r="B625" s="3"/>
      <c r="C625" s="3"/>
      <c r="D625" s="3"/>
      <c r="E625" s="3"/>
      <c r="F625" s="3"/>
    </row>
    <row r="626" spans="1:6" ht="15.75" customHeight="1">
      <c r="A626" s="3"/>
      <c r="B626" s="3"/>
      <c r="C626" s="3"/>
      <c r="D626" s="3"/>
      <c r="E626" s="3"/>
      <c r="F626" s="3"/>
    </row>
    <row r="627" spans="1:6" ht="15.75" customHeight="1">
      <c r="A627" s="3"/>
      <c r="B627" s="3"/>
      <c r="C627" s="3"/>
      <c r="D627" s="3"/>
      <c r="E627" s="3"/>
      <c r="F627" s="3"/>
    </row>
    <row r="628" spans="1:6" ht="15.75" customHeight="1">
      <c r="A628" s="3"/>
      <c r="B628" s="3"/>
      <c r="C628" s="3"/>
      <c r="D628" s="3"/>
      <c r="E628" s="3"/>
      <c r="F628" s="3"/>
    </row>
    <row r="629" spans="1:6" ht="15.75" customHeight="1">
      <c r="A629" s="3"/>
      <c r="B629" s="3"/>
      <c r="C629" s="3"/>
      <c r="D629" s="3"/>
      <c r="E629" s="3"/>
      <c r="F629" s="3"/>
    </row>
    <row r="630" spans="1:6" ht="15.75" customHeight="1">
      <c r="A630" s="3"/>
      <c r="B630" s="3"/>
      <c r="C630" s="3"/>
      <c r="D630" s="3"/>
      <c r="E630" s="3"/>
      <c r="F630" s="3"/>
    </row>
    <row r="631" spans="1:6" ht="15.75" customHeight="1">
      <c r="A631" s="3"/>
      <c r="B631" s="3"/>
      <c r="C631" s="3"/>
      <c r="D631" s="3"/>
      <c r="E631" s="3"/>
      <c r="F631" s="3"/>
    </row>
    <row r="632" spans="1:6" ht="15.75" customHeight="1">
      <c r="A632" s="3"/>
      <c r="B632" s="3"/>
      <c r="C632" s="3"/>
      <c r="D632" s="3"/>
      <c r="E632" s="3"/>
      <c r="F632" s="3"/>
    </row>
    <row r="633" spans="1:6" ht="15.75" customHeight="1">
      <c r="A633" s="3"/>
      <c r="B633" s="3"/>
      <c r="C633" s="3"/>
      <c r="D633" s="3"/>
      <c r="E633" s="3"/>
      <c r="F633" s="3"/>
    </row>
    <row r="634" spans="1:6" ht="15.75" customHeight="1">
      <c r="A634" s="3"/>
      <c r="B634" s="3"/>
      <c r="C634" s="3"/>
      <c r="D634" s="3"/>
      <c r="E634" s="3"/>
      <c r="F634" s="3"/>
    </row>
    <row r="635" spans="1:6" ht="15.75" customHeight="1">
      <c r="A635" s="3"/>
      <c r="B635" s="3"/>
      <c r="C635" s="3"/>
      <c r="D635" s="3"/>
      <c r="E635" s="3"/>
      <c r="F635" s="3"/>
    </row>
    <row r="636" spans="1:6" ht="15.75" customHeight="1">
      <c r="A636" s="3"/>
      <c r="B636" s="3"/>
      <c r="C636" s="3"/>
      <c r="D636" s="3"/>
      <c r="E636" s="3"/>
      <c r="F636" s="3"/>
    </row>
    <row r="637" spans="1:6" ht="15.75" customHeight="1">
      <c r="A637" s="3"/>
      <c r="B637" s="3"/>
      <c r="C637" s="3"/>
      <c r="D637" s="3"/>
      <c r="E637" s="3"/>
      <c r="F637" s="3"/>
    </row>
    <row r="638" spans="1:6" ht="15.75" customHeight="1">
      <c r="A638" s="3"/>
      <c r="B638" s="3"/>
      <c r="C638" s="3"/>
      <c r="D638" s="3"/>
      <c r="E638" s="3"/>
      <c r="F638" s="3"/>
    </row>
    <row r="639" spans="1:6" ht="15.75" customHeight="1">
      <c r="A639" s="3"/>
      <c r="B639" s="3"/>
      <c r="C639" s="3"/>
      <c r="D639" s="3"/>
      <c r="E639" s="3"/>
      <c r="F639" s="3"/>
    </row>
    <row r="640" spans="1:6" ht="15.75" customHeight="1">
      <c r="A640" s="3"/>
      <c r="B640" s="3"/>
      <c r="C640" s="3"/>
      <c r="D640" s="3"/>
      <c r="E640" s="3"/>
      <c r="F640" s="3"/>
    </row>
    <row r="641" spans="1:6" ht="15.75" customHeight="1">
      <c r="A641" s="3"/>
      <c r="B641" s="3"/>
      <c r="C641" s="3"/>
      <c r="D641" s="3"/>
      <c r="E641" s="3"/>
      <c r="F641" s="3"/>
    </row>
    <row r="642" spans="1:6" ht="15.75" customHeight="1">
      <c r="A642" s="3"/>
      <c r="B642" s="3"/>
      <c r="C642" s="3"/>
      <c r="D642" s="3"/>
      <c r="E642" s="3"/>
      <c r="F642" s="3"/>
    </row>
    <row r="643" spans="1:6" ht="15.75" customHeight="1">
      <c r="A643" s="3"/>
      <c r="B643" s="3"/>
      <c r="C643" s="3"/>
      <c r="D643" s="3"/>
      <c r="E643" s="3"/>
      <c r="F643" s="3"/>
    </row>
    <row r="644" spans="1:6" ht="15.75" customHeight="1">
      <c r="A644" s="3"/>
      <c r="B644" s="3"/>
      <c r="C644" s="3"/>
      <c r="D644" s="3"/>
      <c r="E644" s="3"/>
      <c r="F644" s="3"/>
    </row>
    <row r="645" spans="1:6" ht="15.75" customHeight="1">
      <c r="A645" s="3"/>
      <c r="B645" s="3"/>
      <c r="C645" s="3"/>
      <c r="D645" s="3"/>
      <c r="E645" s="3"/>
      <c r="F645" s="3"/>
    </row>
    <row r="646" spans="1:6" ht="15.75" customHeight="1">
      <c r="A646" s="3"/>
      <c r="B646" s="3"/>
      <c r="C646" s="3"/>
      <c r="D646" s="3"/>
      <c r="E646" s="3"/>
      <c r="F646" s="3"/>
    </row>
    <row r="647" spans="1:6" ht="15.75" customHeight="1">
      <c r="A647" s="3"/>
      <c r="B647" s="3"/>
      <c r="C647" s="3"/>
      <c r="D647" s="3"/>
      <c r="E647" s="3"/>
      <c r="F647" s="3"/>
    </row>
    <row r="648" spans="1:6" ht="15.75" customHeight="1">
      <c r="A648" s="3"/>
      <c r="B648" s="3"/>
      <c r="C648" s="3"/>
      <c r="D648" s="3"/>
      <c r="E648" s="3"/>
      <c r="F648" s="3"/>
    </row>
    <row r="649" spans="1:6" ht="15.75" customHeight="1">
      <c r="A649" s="3"/>
      <c r="B649" s="3"/>
      <c r="C649" s="3"/>
      <c r="D649" s="3"/>
      <c r="E649" s="3"/>
      <c r="F649" s="3"/>
    </row>
    <row r="650" spans="1:6" ht="15.75" customHeight="1">
      <c r="A650" s="3"/>
      <c r="B650" s="3"/>
      <c r="C650" s="3"/>
      <c r="D650" s="3"/>
      <c r="E650" s="3"/>
      <c r="F650" s="3"/>
    </row>
    <row r="651" spans="1:6" ht="15.75" customHeight="1">
      <c r="A651" s="3"/>
      <c r="B651" s="3"/>
      <c r="C651" s="3"/>
      <c r="D651" s="3"/>
      <c r="E651" s="3"/>
      <c r="F651" s="3"/>
    </row>
    <row r="652" spans="1:6" ht="15.75" customHeight="1">
      <c r="A652" s="3"/>
      <c r="B652" s="3"/>
      <c r="C652" s="3"/>
      <c r="D652" s="3"/>
      <c r="E652" s="3"/>
      <c r="F652" s="3"/>
    </row>
    <row r="653" spans="1:6" ht="15.75" customHeight="1">
      <c r="A653" s="3"/>
      <c r="B653" s="3"/>
      <c r="C653" s="3"/>
      <c r="D653" s="3"/>
      <c r="E653" s="3"/>
      <c r="F653" s="3"/>
    </row>
    <row r="654" spans="1:6" ht="15.75" customHeight="1">
      <c r="A654" s="3"/>
      <c r="B654" s="3"/>
      <c r="C654" s="3"/>
      <c r="D654" s="3"/>
      <c r="E654" s="3"/>
      <c r="F654" s="3"/>
    </row>
    <row r="655" spans="1:6" ht="15.75" customHeight="1">
      <c r="A655" s="3"/>
      <c r="B655" s="3"/>
      <c r="C655" s="3"/>
      <c r="D655" s="3"/>
      <c r="E655" s="3"/>
      <c r="F655" s="3"/>
    </row>
    <row r="656" spans="1:6" ht="15.75" customHeight="1">
      <c r="A656" s="3"/>
      <c r="B656" s="3"/>
      <c r="C656" s="3"/>
      <c r="D656" s="3"/>
      <c r="E656" s="3"/>
      <c r="F656" s="3"/>
    </row>
    <row r="657" spans="1:6" ht="15.75" customHeight="1">
      <c r="A657" s="3"/>
      <c r="B657" s="3"/>
      <c r="C657" s="3"/>
      <c r="D657" s="3"/>
      <c r="E657" s="3"/>
      <c r="F657" s="3"/>
    </row>
    <row r="658" spans="1:6" ht="15.75" customHeight="1">
      <c r="A658" s="3"/>
      <c r="B658" s="3"/>
      <c r="C658" s="3"/>
      <c r="D658" s="3"/>
      <c r="E658" s="3"/>
      <c r="F658" s="3"/>
    </row>
    <row r="659" spans="1:6" ht="15.75" customHeight="1">
      <c r="A659" s="3"/>
      <c r="B659" s="3"/>
      <c r="C659" s="3"/>
      <c r="D659" s="3"/>
      <c r="E659" s="3"/>
      <c r="F659" s="3"/>
    </row>
    <row r="660" spans="1:6" ht="15.75" customHeight="1">
      <c r="A660" s="3"/>
      <c r="B660" s="3"/>
      <c r="C660" s="3"/>
      <c r="D660" s="3"/>
      <c r="E660" s="3"/>
      <c r="F660" s="3"/>
    </row>
    <row r="661" spans="1:6" ht="15.75" customHeight="1">
      <c r="A661" s="3"/>
      <c r="B661" s="3"/>
      <c r="C661" s="3"/>
      <c r="D661" s="3"/>
      <c r="E661" s="3"/>
      <c r="F661" s="3"/>
    </row>
    <row r="662" spans="1:6" ht="15.75" customHeight="1">
      <c r="A662" s="3"/>
      <c r="B662" s="3"/>
      <c r="C662" s="3"/>
      <c r="D662" s="3"/>
      <c r="E662" s="3"/>
      <c r="F662" s="3"/>
    </row>
    <row r="663" spans="1:6" ht="15.75" customHeight="1">
      <c r="A663" s="3"/>
      <c r="B663" s="3"/>
      <c r="C663" s="3"/>
      <c r="D663" s="3"/>
      <c r="E663" s="3"/>
      <c r="F663" s="3"/>
    </row>
    <row r="664" spans="1:6" ht="15.75" customHeight="1">
      <c r="A664" s="3"/>
      <c r="B664" s="3"/>
      <c r="C664" s="3"/>
      <c r="D664" s="3"/>
      <c r="E664" s="3"/>
      <c r="F664" s="3"/>
    </row>
    <row r="665" spans="1:6" ht="15.75" customHeight="1">
      <c r="A665" s="3"/>
      <c r="B665" s="3"/>
      <c r="C665" s="3"/>
      <c r="D665" s="3"/>
      <c r="E665" s="3"/>
      <c r="F665" s="3"/>
    </row>
    <row r="666" spans="1:6" ht="15.75" customHeight="1">
      <c r="A666" s="3"/>
      <c r="B666" s="3"/>
      <c r="C666" s="3"/>
      <c r="D666" s="3"/>
      <c r="E666" s="3"/>
      <c r="F666" s="3"/>
    </row>
    <row r="667" spans="1:6" ht="15.75" customHeight="1">
      <c r="A667" s="3"/>
      <c r="B667" s="3"/>
      <c r="C667" s="3"/>
      <c r="D667" s="3"/>
      <c r="E667" s="3"/>
      <c r="F667" s="3"/>
    </row>
    <row r="668" spans="1:6" ht="15.75" customHeight="1">
      <c r="A668" s="3"/>
      <c r="B668" s="3"/>
      <c r="C668" s="3"/>
      <c r="D668" s="3"/>
      <c r="E668" s="3"/>
      <c r="F668" s="3"/>
    </row>
    <row r="669" spans="1:6" ht="15.75" customHeight="1">
      <c r="A669" s="3"/>
      <c r="B669" s="3"/>
      <c r="C669" s="3"/>
      <c r="D669" s="3"/>
      <c r="E669" s="3"/>
      <c r="F669" s="3"/>
    </row>
    <row r="670" spans="1:6" ht="15.75" customHeight="1">
      <c r="A670" s="3"/>
      <c r="B670" s="3"/>
      <c r="C670" s="3"/>
      <c r="D670" s="3"/>
      <c r="E670" s="3"/>
      <c r="F670" s="3"/>
    </row>
    <row r="671" spans="1:6" ht="15.75" customHeight="1">
      <c r="A671" s="3"/>
      <c r="B671" s="3"/>
      <c r="C671" s="3"/>
      <c r="D671" s="3"/>
      <c r="E671" s="3"/>
      <c r="F671" s="3"/>
    </row>
    <row r="672" spans="1:6" ht="15.75" customHeight="1">
      <c r="A672" s="3"/>
      <c r="B672" s="3"/>
      <c r="C672" s="3"/>
      <c r="D672" s="3"/>
      <c r="E672" s="3"/>
      <c r="F672" s="3"/>
    </row>
    <row r="673" spans="1:6" ht="15.75" customHeight="1">
      <c r="A673" s="3"/>
      <c r="B673" s="3"/>
      <c r="C673" s="3"/>
      <c r="D673" s="3"/>
      <c r="E673" s="3"/>
      <c r="F673" s="3"/>
    </row>
    <row r="674" spans="1:6" ht="15.75" customHeight="1">
      <c r="A674" s="3"/>
      <c r="B674" s="3"/>
      <c r="C674" s="3"/>
      <c r="D674" s="3"/>
      <c r="E674" s="3"/>
      <c r="F674" s="3"/>
    </row>
    <row r="675" spans="1:6" ht="15.75" customHeight="1">
      <c r="A675" s="3"/>
      <c r="B675" s="3"/>
      <c r="C675" s="3"/>
      <c r="D675" s="3"/>
      <c r="E675" s="3"/>
      <c r="F675" s="3"/>
    </row>
    <row r="676" spans="1:6" ht="15.75" customHeight="1">
      <c r="A676" s="3"/>
      <c r="B676" s="3"/>
      <c r="C676" s="3"/>
      <c r="D676" s="3"/>
      <c r="E676" s="3"/>
      <c r="F676" s="3"/>
    </row>
    <row r="677" spans="1:6" ht="15.75" customHeight="1">
      <c r="A677" s="3"/>
      <c r="B677" s="3"/>
      <c r="C677" s="3"/>
      <c r="D677" s="3"/>
      <c r="E677" s="3"/>
      <c r="F677" s="3"/>
    </row>
    <row r="678" spans="1:6" ht="15.75" customHeight="1">
      <c r="A678" s="3"/>
      <c r="B678" s="3"/>
      <c r="C678" s="3"/>
      <c r="D678" s="3"/>
      <c r="E678" s="3"/>
      <c r="F678" s="3"/>
    </row>
    <row r="679" spans="1:6" ht="15.75" customHeight="1">
      <c r="A679" s="3"/>
      <c r="B679" s="3"/>
      <c r="C679" s="3"/>
      <c r="D679" s="3"/>
      <c r="E679" s="3"/>
      <c r="F679" s="3"/>
    </row>
    <row r="680" spans="1:6" ht="15.75" customHeight="1">
      <c r="A680" s="3"/>
      <c r="B680" s="3"/>
      <c r="C680" s="3"/>
      <c r="D680" s="3"/>
      <c r="E680" s="3"/>
      <c r="F680" s="3"/>
    </row>
    <row r="681" spans="1:6" ht="15.75" customHeight="1">
      <c r="A681" s="3"/>
      <c r="B681" s="3"/>
      <c r="C681" s="3"/>
      <c r="D681" s="3"/>
      <c r="E681" s="3"/>
      <c r="F681" s="3"/>
    </row>
    <row r="682" spans="1:6" ht="15.75" customHeight="1">
      <c r="A682" s="3"/>
      <c r="B682" s="3"/>
      <c r="C682" s="3"/>
      <c r="D682" s="3"/>
      <c r="E682" s="3"/>
      <c r="F682" s="3"/>
    </row>
    <row r="683" spans="1:6" ht="15.75" customHeight="1">
      <c r="A683" s="3"/>
      <c r="B683" s="3"/>
      <c r="C683" s="3"/>
      <c r="D683" s="3"/>
      <c r="E683" s="3"/>
      <c r="F683" s="3"/>
    </row>
    <row r="684" spans="1:6" ht="15.75" customHeight="1">
      <c r="A684" s="3"/>
      <c r="B684" s="3"/>
      <c r="C684" s="3"/>
      <c r="D684" s="3"/>
      <c r="E684" s="3"/>
      <c r="F684" s="3"/>
    </row>
    <row r="685" spans="1:6" ht="15.75" customHeight="1">
      <c r="A685" s="3"/>
      <c r="B685" s="3"/>
      <c r="C685" s="3"/>
      <c r="D685" s="3"/>
      <c r="E685" s="3"/>
      <c r="F685" s="3"/>
    </row>
    <row r="686" spans="1:6" ht="15.75" customHeight="1">
      <c r="A686" s="3"/>
      <c r="B686" s="3"/>
      <c r="C686" s="3"/>
      <c r="D686" s="3"/>
      <c r="E686" s="3"/>
      <c r="F686" s="3"/>
    </row>
    <row r="687" spans="1:6" ht="15.75" customHeight="1">
      <c r="A687" s="3"/>
      <c r="B687" s="3"/>
      <c r="C687" s="3"/>
      <c r="D687" s="3"/>
      <c r="E687" s="3"/>
      <c r="F687" s="3"/>
    </row>
    <row r="688" spans="1:6" ht="15.75" customHeight="1">
      <c r="A688" s="3"/>
      <c r="B688" s="3"/>
      <c r="C688" s="3"/>
      <c r="D688" s="3"/>
      <c r="E688" s="3"/>
      <c r="F688" s="3"/>
    </row>
    <row r="689" spans="1:6" ht="15.75" customHeight="1">
      <c r="A689" s="3"/>
      <c r="B689" s="3"/>
      <c r="C689" s="3"/>
      <c r="D689" s="3"/>
      <c r="E689" s="3"/>
      <c r="F689" s="3"/>
    </row>
    <row r="690" spans="1:6" ht="15.75" customHeight="1">
      <c r="A690" s="3"/>
      <c r="B690" s="3"/>
      <c r="C690" s="3"/>
      <c r="D690" s="3"/>
      <c r="E690" s="3"/>
      <c r="F690" s="3"/>
    </row>
    <row r="691" spans="1:6" ht="15.75" customHeight="1">
      <c r="A691" s="3"/>
      <c r="B691" s="3"/>
      <c r="C691" s="3"/>
      <c r="D691" s="3"/>
      <c r="E691" s="3"/>
      <c r="F691" s="3"/>
    </row>
    <row r="692" spans="1:6" ht="15.75" customHeight="1">
      <c r="A692" s="3"/>
      <c r="B692" s="3"/>
      <c r="C692" s="3"/>
      <c r="D692" s="3"/>
      <c r="E692" s="3"/>
      <c r="F692" s="3"/>
    </row>
    <row r="693" spans="1:6" ht="15.75" customHeight="1">
      <c r="A693" s="3"/>
      <c r="B693" s="3"/>
      <c r="C693" s="3"/>
      <c r="D693" s="3"/>
      <c r="E693" s="3"/>
      <c r="F693" s="3"/>
    </row>
    <row r="694" spans="1:6" ht="15.75" customHeight="1">
      <c r="A694" s="3"/>
      <c r="B694" s="3"/>
      <c r="C694" s="3"/>
      <c r="D694" s="3"/>
      <c r="E694" s="3"/>
      <c r="F694" s="3"/>
    </row>
    <row r="695" spans="1:6" ht="15.75" customHeight="1">
      <c r="A695" s="3"/>
      <c r="B695" s="3"/>
      <c r="C695" s="3"/>
      <c r="D695" s="3"/>
      <c r="E695" s="3"/>
      <c r="F695" s="3"/>
    </row>
    <row r="696" spans="1:6" ht="15.75" customHeight="1">
      <c r="A696" s="3"/>
      <c r="B696" s="3"/>
      <c r="C696" s="3"/>
      <c r="D696" s="3"/>
      <c r="E696" s="3"/>
      <c r="F696" s="3"/>
    </row>
    <row r="697" spans="1:6" ht="15.75" customHeight="1">
      <c r="A697" s="3"/>
      <c r="B697" s="3"/>
      <c r="C697" s="3"/>
      <c r="D697" s="3"/>
      <c r="E697" s="3"/>
      <c r="F697" s="3"/>
    </row>
    <row r="698" spans="1:6" ht="15.75" customHeight="1">
      <c r="A698" s="3"/>
      <c r="B698" s="3"/>
      <c r="C698" s="3"/>
      <c r="D698" s="3"/>
      <c r="E698" s="3"/>
      <c r="F698" s="3"/>
    </row>
    <row r="699" spans="1:6" ht="15.75" customHeight="1">
      <c r="A699" s="3"/>
      <c r="B699" s="3"/>
      <c r="C699" s="3"/>
      <c r="D699" s="3"/>
      <c r="E699" s="3"/>
      <c r="F699" s="3"/>
    </row>
    <row r="700" spans="1:6" ht="15.75" customHeight="1">
      <c r="A700" s="3"/>
      <c r="B700" s="3"/>
      <c r="C700" s="3"/>
      <c r="D700" s="3"/>
      <c r="E700" s="3"/>
      <c r="F700" s="3"/>
    </row>
    <row r="701" spans="1:6" ht="15.75" customHeight="1">
      <c r="A701" s="3"/>
      <c r="B701" s="3"/>
      <c r="C701" s="3"/>
      <c r="D701" s="3"/>
      <c r="E701" s="3"/>
      <c r="F701" s="3"/>
    </row>
    <row r="702" spans="1:6" ht="15.75" customHeight="1">
      <c r="A702" s="3"/>
      <c r="B702" s="3"/>
      <c r="C702" s="3"/>
      <c r="D702" s="3"/>
      <c r="E702" s="3"/>
      <c r="F702" s="3"/>
    </row>
    <row r="703" spans="1:6" ht="15.75" customHeight="1">
      <c r="A703" s="3"/>
      <c r="B703" s="3"/>
      <c r="C703" s="3"/>
      <c r="D703" s="3"/>
      <c r="E703" s="3"/>
      <c r="F703" s="3"/>
    </row>
    <row r="704" spans="1:6" ht="15.75" customHeight="1">
      <c r="A704" s="3"/>
      <c r="B704" s="3"/>
      <c r="C704" s="3"/>
      <c r="D704" s="3"/>
      <c r="E704" s="3"/>
      <c r="F704" s="3"/>
    </row>
    <row r="705" spans="1:6" ht="15.75" customHeight="1">
      <c r="A705" s="3"/>
      <c r="B705" s="3"/>
      <c r="C705" s="3"/>
      <c r="D705" s="3"/>
      <c r="E705" s="3"/>
      <c r="F705" s="3"/>
    </row>
    <row r="706" spans="1:6" ht="15.75" customHeight="1">
      <c r="A706" s="3"/>
      <c r="B706" s="3"/>
      <c r="C706" s="3"/>
      <c r="D706" s="3"/>
      <c r="E706" s="3"/>
      <c r="F706" s="3"/>
    </row>
    <row r="707" spans="1:6" ht="15.75" customHeight="1">
      <c r="A707" s="3"/>
      <c r="B707" s="3"/>
      <c r="C707" s="3"/>
      <c r="D707" s="3"/>
      <c r="E707" s="3"/>
      <c r="F707" s="3"/>
    </row>
    <row r="708" spans="1:6" ht="15.75" customHeight="1">
      <c r="A708" s="3"/>
      <c r="B708" s="3"/>
      <c r="C708" s="3"/>
      <c r="D708" s="3"/>
      <c r="E708" s="3"/>
      <c r="F708" s="3"/>
    </row>
    <row r="709" spans="1:6" ht="15.75" customHeight="1">
      <c r="A709" s="3"/>
      <c r="B709" s="3"/>
      <c r="C709" s="3"/>
      <c r="D709" s="3"/>
      <c r="E709" s="3"/>
      <c r="F709" s="3"/>
    </row>
    <row r="710" spans="1:6" ht="15.75" customHeight="1">
      <c r="A710" s="3"/>
      <c r="B710" s="3"/>
      <c r="C710" s="3"/>
      <c r="D710" s="3"/>
      <c r="E710" s="3"/>
      <c r="F710" s="3"/>
    </row>
    <row r="711" spans="1:6" ht="15.75" customHeight="1">
      <c r="A711" s="3"/>
      <c r="B711" s="3"/>
      <c r="C711" s="3"/>
      <c r="D711" s="3"/>
      <c r="E711" s="3"/>
      <c r="F711" s="3"/>
    </row>
    <row r="712" spans="1:6" ht="15.75" customHeight="1">
      <c r="A712" s="3"/>
      <c r="B712" s="3"/>
      <c r="C712" s="3"/>
      <c r="D712" s="3"/>
      <c r="E712" s="3"/>
      <c r="F712" s="3"/>
    </row>
    <row r="713" spans="1:6" ht="15.75" customHeight="1">
      <c r="A713" s="3"/>
      <c r="B713" s="3"/>
      <c r="C713" s="3"/>
      <c r="D713" s="3"/>
      <c r="E713" s="3"/>
      <c r="F713" s="3"/>
    </row>
    <row r="714" spans="1:6" ht="15.75" customHeight="1">
      <c r="A714" s="3"/>
      <c r="B714" s="3"/>
      <c r="C714" s="3"/>
      <c r="D714" s="3"/>
      <c r="E714" s="3"/>
      <c r="F714" s="3"/>
    </row>
    <row r="715" spans="1:6" ht="15.75" customHeight="1">
      <c r="A715" s="3"/>
      <c r="B715" s="3"/>
      <c r="C715" s="3"/>
      <c r="D715" s="3"/>
      <c r="E715" s="3"/>
      <c r="F715" s="3"/>
    </row>
    <row r="716" spans="1:6" ht="15.75" customHeight="1">
      <c r="A716" s="3"/>
      <c r="B716" s="3"/>
      <c r="C716" s="3"/>
      <c r="D716" s="3"/>
      <c r="E716" s="3"/>
      <c r="F716" s="3"/>
    </row>
    <row r="717" spans="1:6" ht="15.75" customHeight="1">
      <c r="A717" s="3"/>
      <c r="B717" s="3"/>
      <c r="C717" s="3"/>
      <c r="D717" s="3"/>
      <c r="E717" s="3"/>
      <c r="F717" s="3"/>
    </row>
    <row r="718" spans="1:6" ht="15.75" customHeight="1">
      <c r="A718" s="3"/>
      <c r="B718" s="3"/>
      <c r="C718" s="3"/>
      <c r="D718" s="3"/>
      <c r="E718" s="3"/>
      <c r="F718" s="3"/>
    </row>
    <row r="719" spans="1:6" ht="15.75" customHeight="1">
      <c r="A719" s="3"/>
      <c r="B719" s="3"/>
      <c r="C719" s="3"/>
      <c r="D719" s="3"/>
      <c r="E719" s="3"/>
      <c r="F719" s="3"/>
    </row>
    <row r="720" spans="1:6" ht="15.75" customHeight="1">
      <c r="A720" s="3"/>
      <c r="B720" s="3"/>
      <c r="C720" s="3"/>
      <c r="D720" s="3"/>
      <c r="E720" s="3"/>
      <c r="F720" s="3"/>
    </row>
    <row r="721" spans="1:6" ht="15.75" customHeight="1">
      <c r="A721" s="3"/>
      <c r="B721" s="3"/>
      <c r="C721" s="3"/>
      <c r="D721" s="3"/>
      <c r="E721" s="3"/>
      <c r="F721" s="3"/>
    </row>
    <row r="722" spans="1:6" ht="15.75" customHeight="1">
      <c r="A722" s="3"/>
      <c r="B722" s="3"/>
      <c r="C722" s="3"/>
      <c r="D722" s="3"/>
      <c r="E722" s="3"/>
      <c r="F722" s="3"/>
    </row>
    <row r="723" spans="1:6" ht="15.75" customHeight="1">
      <c r="A723" s="3"/>
      <c r="B723" s="3"/>
      <c r="C723" s="3"/>
      <c r="D723" s="3"/>
      <c r="E723" s="3"/>
      <c r="F723" s="3"/>
    </row>
    <row r="724" spans="1:6" ht="15.75" customHeight="1">
      <c r="A724" s="3"/>
      <c r="B724" s="3"/>
      <c r="C724" s="3"/>
      <c r="D724" s="3"/>
      <c r="E724" s="3"/>
      <c r="F724" s="3"/>
    </row>
    <row r="725" spans="1:6" ht="15.75" customHeight="1">
      <c r="A725" s="3"/>
      <c r="B725" s="3"/>
      <c r="C725" s="3"/>
      <c r="D725" s="3"/>
      <c r="E725" s="3"/>
      <c r="F725" s="3"/>
    </row>
    <row r="726" spans="1:6" ht="15.75" customHeight="1">
      <c r="A726" s="3"/>
      <c r="B726" s="3"/>
      <c r="C726" s="3"/>
      <c r="D726" s="3"/>
      <c r="E726" s="3"/>
      <c r="F726" s="3"/>
    </row>
    <row r="727" spans="1:6" ht="15.75" customHeight="1">
      <c r="A727" s="3"/>
      <c r="B727" s="3"/>
      <c r="C727" s="3"/>
      <c r="D727" s="3"/>
      <c r="E727" s="3"/>
      <c r="F727" s="3"/>
    </row>
    <row r="728" spans="1:6" ht="15.75" customHeight="1">
      <c r="A728" s="3"/>
      <c r="B728" s="3"/>
      <c r="C728" s="3"/>
      <c r="D728" s="3"/>
      <c r="E728" s="3"/>
      <c r="F728" s="3"/>
    </row>
    <row r="729" spans="1:6" ht="15.75" customHeight="1">
      <c r="A729" s="3"/>
      <c r="B729" s="3"/>
      <c r="C729" s="3"/>
      <c r="D729" s="3"/>
      <c r="E729" s="3"/>
      <c r="F729" s="3"/>
    </row>
    <row r="730" spans="1:6" ht="15.75" customHeight="1">
      <c r="A730" s="3"/>
      <c r="B730" s="3"/>
      <c r="C730" s="3"/>
      <c r="D730" s="3"/>
      <c r="E730" s="3"/>
      <c r="F730" s="3"/>
    </row>
    <row r="731" spans="1:6" ht="15.75" customHeight="1">
      <c r="A731" s="3"/>
      <c r="B731" s="3"/>
      <c r="C731" s="3"/>
      <c r="D731" s="3"/>
      <c r="E731" s="3"/>
      <c r="F731" s="3"/>
    </row>
    <row r="732" spans="1:6" ht="15.75" customHeight="1">
      <c r="A732" s="3"/>
      <c r="B732" s="3"/>
      <c r="C732" s="3"/>
      <c r="D732" s="3"/>
      <c r="E732" s="3"/>
      <c r="F732" s="3"/>
    </row>
    <row r="733" spans="1:6" ht="15.75" customHeight="1">
      <c r="A733" s="3"/>
      <c r="B733" s="3"/>
      <c r="C733" s="3"/>
      <c r="D733" s="3"/>
      <c r="E733" s="3"/>
      <c r="F733" s="3"/>
    </row>
    <row r="734" spans="1:6" ht="15.75" customHeight="1">
      <c r="A734" s="3"/>
      <c r="B734" s="3"/>
      <c r="C734" s="3"/>
      <c r="D734" s="3"/>
      <c r="E734" s="3"/>
      <c r="F734" s="3"/>
    </row>
    <row r="735" spans="1:6" ht="15.75" customHeight="1">
      <c r="A735" s="3"/>
      <c r="B735" s="3"/>
      <c r="C735" s="3"/>
      <c r="D735" s="3"/>
      <c r="E735" s="3"/>
      <c r="F735" s="3"/>
    </row>
    <row r="736" spans="1:6" ht="15.75" customHeight="1">
      <c r="A736" s="3"/>
      <c r="B736" s="3"/>
      <c r="C736" s="3"/>
      <c r="D736" s="3"/>
      <c r="E736" s="3"/>
      <c r="F736" s="3"/>
    </row>
    <row r="737" spans="1:6" ht="15.75" customHeight="1">
      <c r="A737" s="3"/>
      <c r="B737" s="3"/>
      <c r="C737" s="3"/>
      <c r="D737" s="3"/>
      <c r="E737" s="3"/>
      <c r="F737" s="3"/>
    </row>
    <row r="738" spans="1:6" ht="15.75" customHeight="1">
      <c r="A738" s="3"/>
      <c r="B738" s="3"/>
      <c r="C738" s="3"/>
      <c r="D738" s="3"/>
      <c r="E738" s="3"/>
      <c r="F738" s="3"/>
    </row>
    <row r="739" spans="1:6" ht="15.75" customHeight="1">
      <c r="A739" s="3"/>
      <c r="B739" s="3"/>
      <c r="C739" s="3"/>
      <c r="D739" s="3"/>
      <c r="E739" s="3"/>
      <c r="F739" s="3"/>
    </row>
    <row r="740" spans="1:6" ht="15.75" customHeight="1">
      <c r="A740" s="3"/>
      <c r="B740" s="3"/>
      <c r="C740" s="3"/>
      <c r="D740" s="3"/>
      <c r="E740" s="3"/>
      <c r="F740" s="3"/>
    </row>
    <row r="741" spans="1:6" ht="15.75" customHeight="1">
      <c r="A741" s="3"/>
      <c r="B741" s="3"/>
      <c r="C741" s="3"/>
      <c r="D741" s="3"/>
      <c r="E741" s="3"/>
      <c r="F741" s="3"/>
    </row>
    <row r="742" spans="1:6" ht="15.75" customHeight="1">
      <c r="A742" s="3"/>
      <c r="B742" s="3"/>
      <c r="C742" s="3"/>
      <c r="D742" s="3"/>
      <c r="E742" s="3"/>
      <c r="F742" s="3"/>
    </row>
    <row r="743" spans="1:6" ht="15.75" customHeight="1">
      <c r="A743" s="3"/>
      <c r="B743" s="3"/>
      <c r="C743" s="3"/>
      <c r="D743" s="3"/>
      <c r="E743" s="3"/>
      <c r="F743" s="3"/>
    </row>
    <row r="744" spans="1:6" ht="15.75" customHeight="1">
      <c r="A744" s="3"/>
      <c r="B744" s="3"/>
      <c r="C744" s="3"/>
      <c r="D744" s="3"/>
      <c r="E744" s="3"/>
      <c r="F744" s="3"/>
    </row>
    <row r="745" spans="1:6" ht="15.75" customHeight="1">
      <c r="A745" s="3"/>
      <c r="B745" s="3"/>
      <c r="C745" s="3"/>
      <c r="D745" s="3"/>
      <c r="E745" s="3"/>
      <c r="F745" s="3"/>
    </row>
    <row r="746" spans="1:6" ht="15.75" customHeight="1">
      <c r="A746" s="3"/>
      <c r="B746" s="3"/>
      <c r="C746" s="3"/>
      <c r="D746" s="3"/>
      <c r="E746" s="3"/>
      <c r="F746" s="3"/>
    </row>
    <row r="747" spans="1:6" ht="15.75" customHeight="1">
      <c r="A747" s="3"/>
      <c r="B747" s="3"/>
      <c r="C747" s="3"/>
      <c r="D747" s="3"/>
      <c r="E747" s="3"/>
      <c r="F747" s="3"/>
    </row>
    <row r="748" spans="1:6" ht="15.75" customHeight="1">
      <c r="A748" s="3"/>
      <c r="B748" s="3"/>
      <c r="C748" s="3"/>
      <c r="D748" s="3"/>
      <c r="E748" s="3"/>
      <c r="F748" s="3"/>
    </row>
    <row r="749" spans="1:6" ht="15.75" customHeight="1">
      <c r="A749" s="3"/>
      <c r="B749" s="3"/>
      <c r="C749" s="3"/>
      <c r="D749" s="3"/>
      <c r="E749" s="3"/>
      <c r="F749" s="3"/>
    </row>
    <row r="750" spans="1:6" ht="15.75" customHeight="1">
      <c r="A750" s="3"/>
      <c r="B750" s="3"/>
      <c r="C750" s="3"/>
      <c r="D750" s="3"/>
      <c r="E750" s="3"/>
      <c r="F750" s="3"/>
    </row>
    <row r="751" spans="1:6" ht="15.75" customHeight="1">
      <c r="A751" s="3"/>
      <c r="B751" s="3"/>
      <c r="C751" s="3"/>
      <c r="D751" s="3"/>
      <c r="E751" s="3"/>
      <c r="F751" s="3"/>
    </row>
    <row r="752" spans="1:6" ht="15.75" customHeight="1">
      <c r="A752" s="3"/>
      <c r="B752" s="3"/>
      <c r="C752" s="3"/>
      <c r="D752" s="3"/>
      <c r="E752" s="3"/>
      <c r="F752" s="3"/>
    </row>
    <row r="753" spans="1:6" ht="15.75" customHeight="1">
      <c r="A753" s="3"/>
      <c r="B753" s="3"/>
      <c r="C753" s="3"/>
      <c r="D753" s="3"/>
      <c r="E753" s="3"/>
      <c r="F753" s="3"/>
    </row>
    <row r="754" spans="1:6" ht="15.75" customHeight="1">
      <c r="A754" s="3"/>
      <c r="B754" s="3"/>
      <c r="C754" s="3"/>
      <c r="D754" s="3"/>
      <c r="E754" s="3"/>
      <c r="F754" s="3"/>
    </row>
    <row r="755" spans="1:6" ht="15.75" customHeight="1">
      <c r="A755" s="3"/>
      <c r="B755" s="3"/>
      <c r="C755" s="3"/>
      <c r="D755" s="3"/>
      <c r="E755" s="3"/>
      <c r="F755" s="3"/>
    </row>
    <row r="756" spans="1:6" ht="15.75" customHeight="1">
      <c r="A756" s="3"/>
      <c r="B756" s="3"/>
      <c r="C756" s="3"/>
      <c r="D756" s="3"/>
      <c r="E756" s="3"/>
      <c r="F756" s="3"/>
    </row>
    <row r="757" spans="1:6" ht="15.75" customHeight="1">
      <c r="A757" s="3"/>
      <c r="B757" s="3"/>
      <c r="C757" s="3"/>
      <c r="D757" s="3"/>
      <c r="E757" s="3"/>
      <c r="F757" s="3"/>
    </row>
    <row r="758" spans="1:6" ht="15.75" customHeight="1">
      <c r="A758" s="3"/>
      <c r="B758" s="3"/>
      <c r="C758" s="3"/>
      <c r="D758" s="3"/>
      <c r="E758" s="3"/>
      <c r="F758" s="3"/>
    </row>
    <row r="759" spans="1:6" ht="15.75" customHeight="1">
      <c r="A759" s="3"/>
      <c r="B759" s="3"/>
      <c r="C759" s="3"/>
      <c r="D759" s="3"/>
      <c r="E759" s="3"/>
      <c r="F759" s="3"/>
    </row>
    <row r="760" spans="1:6" ht="15.75" customHeight="1">
      <c r="A760" s="3"/>
      <c r="B760" s="3"/>
      <c r="C760" s="3"/>
      <c r="D760" s="3"/>
      <c r="E760" s="3"/>
      <c r="F760" s="3"/>
    </row>
    <row r="761" spans="1:6" ht="15.75" customHeight="1">
      <c r="A761" s="3"/>
      <c r="B761" s="3"/>
      <c r="C761" s="3"/>
      <c r="D761" s="3"/>
      <c r="E761" s="3"/>
      <c r="F761" s="3"/>
    </row>
    <row r="762" spans="1:6" ht="15.75" customHeight="1">
      <c r="A762" s="3"/>
      <c r="B762" s="3"/>
      <c r="C762" s="3"/>
      <c r="D762" s="3"/>
      <c r="E762" s="3"/>
      <c r="F762" s="3"/>
    </row>
    <row r="763" spans="1:6" ht="15.75" customHeight="1">
      <c r="A763" s="3"/>
      <c r="B763" s="3"/>
      <c r="C763" s="3"/>
      <c r="D763" s="3"/>
      <c r="E763" s="3"/>
      <c r="F763" s="3"/>
    </row>
    <row r="764" spans="1:6" ht="15.75" customHeight="1">
      <c r="A764" s="3"/>
      <c r="B764" s="3"/>
      <c r="C764" s="3"/>
      <c r="D764" s="3"/>
      <c r="E764" s="3"/>
      <c r="F764" s="3"/>
    </row>
    <row r="765" spans="1:6" ht="15.75" customHeight="1">
      <c r="A765" s="3"/>
      <c r="B765" s="3"/>
      <c r="C765" s="3"/>
      <c r="D765" s="3"/>
      <c r="E765" s="3"/>
      <c r="F765" s="3"/>
    </row>
    <row r="766" spans="1:6" ht="15.75" customHeight="1">
      <c r="A766" s="3"/>
      <c r="B766" s="3"/>
      <c r="C766" s="3"/>
      <c r="D766" s="3"/>
      <c r="E766" s="3"/>
      <c r="F766" s="3"/>
    </row>
    <row r="767" spans="1:6" ht="15.75" customHeight="1">
      <c r="A767" s="3"/>
      <c r="B767" s="3"/>
      <c r="C767" s="3"/>
      <c r="D767" s="3"/>
      <c r="E767" s="3"/>
      <c r="F767" s="3"/>
    </row>
    <row r="768" spans="1:6" ht="15.75" customHeight="1">
      <c r="A768" s="3"/>
      <c r="B768" s="3"/>
      <c r="C768" s="3"/>
      <c r="D768" s="3"/>
      <c r="E768" s="3"/>
      <c r="F768" s="3"/>
    </row>
    <row r="769" spans="1:6" ht="15.75" customHeight="1">
      <c r="A769" s="3"/>
      <c r="B769" s="3"/>
      <c r="C769" s="3"/>
      <c r="D769" s="3"/>
      <c r="E769" s="3"/>
      <c r="F769" s="3"/>
    </row>
    <row r="770" spans="1:6" ht="15.75" customHeight="1">
      <c r="A770" s="3"/>
      <c r="B770" s="3"/>
      <c r="C770" s="3"/>
      <c r="D770" s="3"/>
      <c r="E770" s="3"/>
      <c r="F770" s="3"/>
    </row>
    <row r="771" spans="1:6" ht="15.75" customHeight="1">
      <c r="A771" s="3"/>
      <c r="B771" s="3"/>
      <c r="C771" s="3"/>
      <c r="D771" s="3"/>
      <c r="E771" s="3"/>
      <c r="F771" s="3"/>
    </row>
    <row r="772" spans="1:6" ht="15.75" customHeight="1">
      <c r="A772" s="3"/>
      <c r="B772" s="3"/>
      <c r="C772" s="3"/>
      <c r="D772" s="3"/>
      <c r="E772" s="3"/>
      <c r="F772" s="3"/>
    </row>
    <row r="773" spans="1:6" ht="15.75" customHeight="1">
      <c r="A773" s="3"/>
      <c r="B773" s="3"/>
      <c r="C773" s="3"/>
      <c r="D773" s="3"/>
      <c r="E773" s="3"/>
      <c r="F773" s="3"/>
    </row>
    <row r="774" spans="1:6" ht="15.75" customHeight="1">
      <c r="A774" s="3"/>
      <c r="B774" s="3"/>
      <c r="C774" s="3"/>
      <c r="D774" s="3"/>
      <c r="E774" s="3"/>
      <c r="F774" s="3"/>
    </row>
    <row r="775" spans="1:6" ht="15.75" customHeight="1">
      <c r="A775" s="3"/>
      <c r="B775" s="3"/>
      <c r="C775" s="3"/>
      <c r="D775" s="3"/>
      <c r="E775" s="3"/>
      <c r="F775" s="3"/>
    </row>
    <row r="776" spans="1:6" ht="15.75" customHeight="1">
      <c r="A776" s="3"/>
      <c r="B776" s="3"/>
      <c r="C776" s="3"/>
      <c r="D776" s="3"/>
      <c r="E776" s="3"/>
      <c r="F776" s="3"/>
    </row>
    <row r="777" spans="1:6" ht="15.75" customHeight="1">
      <c r="A777" s="3"/>
      <c r="B777" s="3"/>
      <c r="C777" s="3"/>
      <c r="D777" s="3"/>
      <c r="E777" s="3"/>
      <c r="F777" s="3"/>
    </row>
    <row r="778" spans="1:6" ht="15.75" customHeight="1">
      <c r="A778" s="3"/>
      <c r="B778" s="3"/>
      <c r="C778" s="3"/>
      <c r="D778" s="3"/>
      <c r="E778" s="3"/>
      <c r="F778" s="3"/>
    </row>
    <row r="779" spans="1:6" ht="15.75" customHeight="1">
      <c r="A779" s="3"/>
      <c r="B779" s="3"/>
      <c r="C779" s="3"/>
      <c r="D779" s="3"/>
      <c r="E779" s="3"/>
      <c r="F779" s="3"/>
    </row>
    <row r="780" spans="1:6" ht="15.75" customHeight="1">
      <c r="A780" s="3"/>
      <c r="B780" s="3"/>
      <c r="C780" s="3"/>
      <c r="D780" s="3"/>
      <c r="E780" s="3"/>
      <c r="F780" s="3"/>
    </row>
    <row r="781" spans="1:6" ht="15.75" customHeight="1">
      <c r="A781" s="3"/>
      <c r="B781" s="3"/>
      <c r="C781" s="3"/>
      <c r="D781" s="3"/>
      <c r="E781" s="3"/>
      <c r="F781" s="3"/>
    </row>
    <row r="782" spans="1:6" ht="15.75" customHeight="1">
      <c r="A782" s="3"/>
      <c r="B782" s="3"/>
      <c r="C782" s="3"/>
      <c r="D782" s="3"/>
      <c r="E782" s="3"/>
      <c r="F782" s="3"/>
    </row>
    <row r="783" spans="1:6" ht="15.75" customHeight="1">
      <c r="A783" s="3"/>
      <c r="B783" s="3"/>
      <c r="C783" s="3"/>
      <c r="D783" s="3"/>
      <c r="E783" s="3"/>
      <c r="F783" s="3"/>
    </row>
    <row r="784" spans="1:6" ht="15.75" customHeight="1">
      <c r="A784" s="3"/>
      <c r="B784" s="3"/>
      <c r="C784" s="3"/>
      <c r="D784" s="3"/>
      <c r="E784" s="3"/>
      <c r="F784" s="3"/>
    </row>
    <row r="785" spans="1:6" ht="15.75" customHeight="1">
      <c r="A785" s="3"/>
      <c r="B785" s="3"/>
      <c r="C785" s="3"/>
      <c r="D785" s="3"/>
      <c r="E785" s="3"/>
      <c r="F785" s="3"/>
    </row>
    <row r="786" spans="1:6" ht="15.75" customHeight="1">
      <c r="A786" s="3"/>
      <c r="B786" s="3"/>
      <c r="C786" s="3"/>
      <c r="D786" s="3"/>
      <c r="E786" s="3"/>
      <c r="F786" s="3"/>
    </row>
    <row r="787" spans="1:6" ht="15.75" customHeight="1">
      <c r="A787" s="3"/>
      <c r="B787" s="3"/>
      <c r="C787" s="3"/>
      <c r="D787" s="3"/>
      <c r="E787" s="3"/>
      <c r="F787" s="3"/>
    </row>
    <row r="788" spans="1:6" ht="15.75" customHeight="1">
      <c r="A788" s="3"/>
      <c r="B788" s="3"/>
      <c r="C788" s="3"/>
      <c r="D788" s="3"/>
      <c r="E788" s="3"/>
      <c r="F788" s="3"/>
    </row>
    <row r="789" spans="1:6" ht="15.75" customHeight="1">
      <c r="A789" s="3"/>
      <c r="B789" s="3"/>
      <c r="C789" s="3"/>
      <c r="D789" s="3"/>
      <c r="E789" s="3"/>
      <c r="F789" s="3"/>
    </row>
    <row r="790" spans="1:6" ht="15.75" customHeight="1">
      <c r="A790" s="3"/>
      <c r="B790" s="3"/>
      <c r="C790" s="3"/>
      <c r="D790" s="3"/>
      <c r="E790" s="3"/>
      <c r="F790" s="3"/>
    </row>
    <row r="791" spans="1:6" ht="15.75" customHeight="1">
      <c r="A791" s="3"/>
      <c r="B791" s="3"/>
      <c r="C791" s="3"/>
      <c r="D791" s="3"/>
      <c r="E791" s="3"/>
      <c r="F791" s="3"/>
    </row>
    <row r="792" spans="1:6" ht="15.75" customHeight="1">
      <c r="A792" s="3"/>
      <c r="B792" s="3"/>
      <c r="C792" s="3"/>
      <c r="D792" s="3"/>
      <c r="E792" s="3"/>
      <c r="F792" s="3"/>
    </row>
    <row r="793" spans="1:6" ht="15.75" customHeight="1">
      <c r="A793" s="3"/>
      <c r="B793" s="3"/>
      <c r="C793" s="3"/>
      <c r="D793" s="3"/>
      <c r="E793" s="3"/>
      <c r="F793" s="3"/>
    </row>
    <row r="794" spans="1:6" ht="15.75" customHeight="1">
      <c r="A794" s="3"/>
      <c r="B794" s="3"/>
      <c r="C794" s="3"/>
      <c r="D794" s="3"/>
      <c r="E794" s="3"/>
      <c r="F794" s="3"/>
    </row>
    <row r="795" spans="1:6" ht="15.75" customHeight="1">
      <c r="A795" s="3"/>
      <c r="B795" s="3"/>
      <c r="C795" s="3"/>
      <c r="D795" s="3"/>
      <c r="E795" s="3"/>
      <c r="F795" s="3"/>
    </row>
    <row r="796" spans="1:6" ht="15.75" customHeight="1">
      <c r="A796" s="3"/>
      <c r="B796" s="3"/>
      <c r="C796" s="3"/>
      <c r="D796" s="3"/>
      <c r="E796" s="3"/>
      <c r="F796" s="3"/>
    </row>
    <row r="797" spans="1:6" ht="15.75" customHeight="1">
      <c r="A797" s="3"/>
      <c r="B797" s="3"/>
      <c r="C797" s="3"/>
      <c r="D797" s="3"/>
      <c r="E797" s="3"/>
      <c r="F797" s="3"/>
    </row>
    <row r="798" spans="1:6" ht="15.75" customHeight="1">
      <c r="A798" s="3"/>
      <c r="B798" s="3"/>
      <c r="C798" s="3"/>
      <c r="D798" s="3"/>
      <c r="E798" s="3"/>
      <c r="F798" s="3"/>
    </row>
    <row r="799" spans="1:6" ht="15.75" customHeight="1">
      <c r="A799" s="3"/>
      <c r="B799" s="3"/>
      <c r="C799" s="3"/>
      <c r="D799" s="3"/>
      <c r="E799" s="3"/>
      <c r="F799" s="3"/>
    </row>
    <row r="800" spans="1:6" ht="15.75" customHeight="1">
      <c r="A800" s="3"/>
      <c r="B800" s="3"/>
      <c r="C800" s="3"/>
      <c r="D800" s="3"/>
      <c r="E800" s="3"/>
      <c r="F800" s="3"/>
    </row>
    <row r="801" spans="1:6" ht="15.75" customHeight="1">
      <c r="A801" s="3"/>
      <c r="B801" s="3"/>
      <c r="C801" s="3"/>
      <c r="D801" s="3"/>
      <c r="E801" s="3"/>
      <c r="F801" s="3"/>
    </row>
    <row r="802" spans="1:6" ht="15.75" customHeight="1">
      <c r="A802" s="3"/>
      <c r="B802" s="3"/>
      <c r="C802" s="3"/>
      <c r="D802" s="3"/>
      <c r="E802" s="3"/>
      <c r="F802" s="3"/>
    </row>
    <row r="803" spans="1:6" ht="15.75" customHeight="1">
      <c r="A803" s="3"/>
      <c r="B803" s="3"/>
      <c r="C803" s="3"/>
      <c r="D803" s="3"/>
      <c r="E803" s="3"/>
      <c r="F803" s="3"/>
    </row>
    <row r="804" spans="1:6" ht="15.75" customHeight="1">
      <c r="A804" s="3"/>
      <c r="B804" s="3"/>
      <c r="C804" s="3"/>
      <c r="D804" s="3"/>
      <c r="E804" s="3"/>
      <c r="F804" s="3"/>
    </row>
    <row r="805" spans="1:6" ht="15.75" customHeight="1">
      <c r="A805" s="3"/>
      <c r="B805" s="3"/>
      <c r="C805" s="3"/>
      <c r="D805" s="3"/>
      <c r="E805" s="3"/>
      <c r="F805" s="3"/>
    </row>
    <row r="806" spans="1:6" ht="15.75" customHeight="1">
      <c r="A806" s="3"/>
      <c r="B806" s="3"/>
      <c r="C806" s="3"/>
      <c r="D806" s="3"/>
      <c r="E806" s="3"/>
      <c r="F806" s="3"/>
    </row>
    <row r="807" spans="1:6" ht="15.75" customHeight="1">
      <c r="A807" s="3"/>
      <c r="B807" s="3"/>
      <c r="C807" s="3"/>
      <c r="D807" s="3"/>
      <c r="E807" s="3"/>
      <c r="F807" s="3"/>
    </row>
    <row r="808" spans="1:6" ht="15.75" customHeight="1">
      <c r="A808" s="3"/>
      <c r="B808" s="3"/>
      <c r="C808" s="3"/>
      <c r="D808" s="3"/>
      <c r="E808" s="3"/>
      <c r="F808" s="3"/>
    </row>
    <row r="809" spans="1:6" ht="15.75" customHeight="1">
      <c r="A809" s="3"/>
      <c r="B809" s="3"/>
      <c r="C809" s="3"/>
      <c r="D809" s="3"/>
      <c r="E809" s="3"/>
      <c r="F809" s="3"/>
    </row>
    <row r="810" spans="1:6" ht="15.75" customHeight="1">
      <c r="A810" s="3"/>
      <c r="B810" s="3"/>
      <c r="C810" s="3"/>
      <c r="D810" s="3"/>
      <c r="E810" s="3"/>
      <c r="F810" s="3"/>
    </row>
    <row r="811" spans="1:6" ht="15.75" customHeight="1">
      <c r="A811" s="3"/>
      <c r="B811" s="3"/>
      <c r="C811" s="3"/>
      <c r="D811" s="3"/>
      <c r="E811" s="3"/>
      <c r="F811" s="3"/>
    </row>
    <row r="812" spans="1:6" ht="15.75" customHeight="1">
      <c r="A812" s="3"/>
      <c r="B812" s="3"/>
      <c r="C812" s="3"/>
      <c r="D812" s="3"/>
      <c r="E812" s="3"/>
      <c r="F812" s="3"/>
    </row>
    <row r="813" spans="1:6" ht="15.75" customHeight="1">
      <c r="A813" s="3"/>
      <c r="B813" s="3"/>
      <c r="C813" s="3"/>
      <c r="D813" s="3"/>
      <c r="E813" s="3"/>
      <c r="F813" s="3"/>
    </row>
    <row r="814" spans="1:6" ht="15.75" customHeight="1">
      <c r="A814" s="3"/>
      <c r="B814" s="3"/>
      <c r="C814" s="3"/>
      <c r="D814" s="3"/>
      <c r="E814" s="3"/>
      <c r="F814" s="3"/>
    </row>
    <row r="815" spans="1:6" ht="15.75" customHeight="1">
      <c r="A815" s="3"/>
      <c r="B815" s="3"/>
      <c r="C815" s="3"/>
      <c r="D815" s="3"/>
      <c r="E815" s="3"/>
      <c r="F815" s="3"/>
    </row>
    <row r="816" spans="1:6" ht="15.75" customHeight="1">
      <c r="A816" s="3"/>
      <c r="B816" s="3"/>
      <c r="C816" s="3"/>
      <c r="D816" s="3"/>
      <c r="E816" s="3"/>
      <c r="F816" s="3"/>
    </row>
    <row r="817" spans="1:6" ht="15.75" customHeight="1">
      <c r="A817" s="3"/>
      <c r="B817" s="3"/>
      <c r="C817" s="3"/>
      <c r="D817" s="3"/>
      <c r="E817" s="3"/>
      <c r="F817" s="3"/>
    </row>
    <row r="818" spans="1:6" ht="15.75" customHeight="1">
      <c r="A818" s="3"/>
      <c r="B818" s="3"/>
      <c r="C818" s="3"/>
      <c r="D818" s="3"/>
      <c r="E818" s="3"/>
      <c r="F818" s="3"/>
    </row>
    <row r="819" spans="1:6" ht="15.75" customHeight="1">
      <c r="A819" s="3"/>
      <c r="B819" s="3"/>
      <c r="C819" s="3"/>
      <c r="D819" s="3"/>
      <c r="E819" s="3"/>
      <c r="F819" s="3"/>
    </row>
    <row r="820" spans="1:6" ht="15.75" customHeight="1">
      <c r="A820" s="3"/>
      <c r="B820" s="3"/>
      <c r="C820" s="3"/>
      <c r="D820" s="3"/>
      <c r="E820" s="3"/>
      <c r="F820" s="3"/>
    </row>
    <row r="821" spans="1:6" ht="15.75" customHeight="1">
      <c r="A821" s="3"/>
      <c r="B821" s="3"/>
      <c r="C821" s="3"/>
      <c r="D821" s="3"/>
      <c r="E821" s="3"/>
      <c r="F821" s="3"/>
    </row>
    <row r="822" spans="1:6" ht="15.75" customHeight="1">
      <c r="A822" s="3"/>
      <c r="B822" s="3"/>
      <c r="C822" s="3"/>
      <c r="D822" s="3"/>
      <c r="E822" s="3"/>
      <c r="F822" s="3"/>
    </row>
    <row r="823" spans="1:6" ht="15.75" customHeight="1">
      <c r="A823" s="3"/>
      <c r="B823" s="3"/>
      <c r="C823" s="3"/>
      <c r="D823" s="3"/>
      <c r="E823" s="3"/>
      <c r="F823" s="3"/>
    </row>
    <row r="824" spans="1:6" ht="15.75" customHeight="1">
      <c r="A824" s="3"/>
      <c r="B824" s="3"/>
      <c r="C824" s="3"/>
      <c r="D824" s="3"/>
      <c r="E824" s="3"/>
      <c r="F824" s="3"/>
    </row>
    <row r="825" spans="1:6" ht="15.75" customHeight="1">
      <c r="A825" s="3"/>
      <c r="B825" s="3"/>
      <c r="C825" s="3"/>
      <c r="D825" s="3"/>
      <c r="E825" s="3"/>
      <c r="F825" s="3"/>
    </row>
    <row r="826" spans="1:6" ht="15.75" customHeight="1">
      <c r="A826" s="3"/>
      <c r="B826" s="3"/>
      <c r="C826" s="3"/>
      <c r="D826" s="3"/>
      <c r="E826" s="3"/>
      <c r="F826" s="3"/>
    </row>
    <row r="827" spans="1:6" ht="15.75" customHeight="1">
      <c r="A827" s="3"/>
      <c r="B827" s="3"/>
      <c r="C827" s="3"/>
      <c r="D827" s="3"/>
      <c r="E827" s="3"/>
      <c r="F827" s="3"/>
    </row>
    <row r="828" spans="1:6" ht="15.75" customHeight="1">
      <c r="A828" s="3"/>
      <c r="B828" s="3"/>
      <c r="C828" s="3"/>
      <c r="D828" s="3"/>
      <c r="E828" s="3"/>
      <c r="F828" s="3"/>
    </row>
    <row r="829" spans="1:6" ht="15.75" customHeight="1">
      <c r="A829" s="3"/>
      <c r="B829" s="3"/>
      <c r="C829" s="3"/>
      <c r="D829" s="3"/>
      <c r="E829" s="3"/>
      <c r="F829" s="3"/>
    </row>
    <row r="830" spans="1:6" ht="15.75" customHeight="1">
      <c r="A830" s="3"/>
      <c r="B830" s="3"/>
      <c r="C830" s="3"/>
      <c r="D830" s="3"/>
      <c r="E830" s="3"/>
      <c r="F830" s="3"/>
    </row>
    <row r="831" spans="1:6" ht="15.75" customHeight="1">
      <c r="A831" s="3"/>
      <c r="B831" s="3"/>
      <c r="C831" s="3"/>
      <c r="D831" s="3"/>
      <c r="E831" s="3"/>
      <c r="F831" s="3"/>
    </row>
    <row r="832" spans="1:6" ht="15.75" customHeight="1">
      <c r="A832" s="3"/>
      <c r="B832" s="3"/>
      <c r="C832" s="3"/>
      <c r="D832" s="3"/>
      <c r="E832" s="3"/>
      <c r="F832" s="3"/>
    </row>
    <row r="833" spans="1:6" ht="15.75" customHeight="1">
      <c r="A833" s="3"/>
      <c r="B833" s="3"/>
      <c r="C833" s="3"/>
      <c r="D833" s="3"/>
      <c r="E833" s="3"/>
      <c r="F833" s="3"/>
    </row>
    <row r="834" spans="1:6" ht="15.75" customHeight="1">
      <c r="A834" s="3"/>
      <c r="B834" s="3"/>
      <c r="C834" s="3"/>
      <c r="D834" s="3"/>
      <c r="E834" s="3"/>
      <c r="F834" s="3"/>
    </row>
    <row r="835" spans="1:6" ht="15.75" customHeight="1">
      <c r="A835" s="3"/>
      <c r="B835" s="3"/>
      <c r="C835" s="3"/>
      <c r="D835" s="3"/>
      <c r="E835" s="3"/>
      <c r="F835" s="3"/>
    </row>
    <row r="836" spans="1:6" ht="15.75" customHeight="1">
      <c r="A836" s="3"/>
      <c r="B836" s="3"/>
      <c r="C836" s="3"/>
      <c r="D836" s="3"/>
      <c r="E836" s="3"/>
      <c r="F836" s="3"/>
    </row>
    <row r="837" spans="1:6" ht="15.75" customHeight="1">
      <c r="A837" s="3"/>
      <c r="B837" s="3"/>
      <c r="C837" s="3"/>
      <c r="D837" s="3"/>
      <c r="E837" s="3"/>
      <c r="F837" s="3"/>
    </row>
    <row r="838" spans="1:6" ht="15.75" customHeight="1">
      <c r="A838" s="3"/>
      <c r="B838" s="3"/>
      <c r="C838" s="3"/>
      <c r="D838" s="3"/>
      <c r="E838" s="3"/>
      <c r="F838" s="3"/>
    </row>
    <row r="839" spans="1:6" ht="15.75" customHeight="1">
      <c r="A839" s="3"/>
      <c r="B839" s="3"/>
      <c r="C839" s="3"/>
      <c r="D839" s="3"/>
      <c r="E839" s="3"/>
      <c r="F839" s="3"/>
    </row>
    <row r="840" spans="1:6" ht="15.75" customHeight="1">
      <c r="A840" s="3"/>
      <c r="B840" s="3"/>
      <c r="C840" s="3"/>
      <c r="D840" s="3"/>
      <c r="E840" s="3"/>
      <c r="F840" s="3"/>
    </row>
    <row r="841" spans="1:6" ht="15.75" customHeight="1">
      <c r="A841" s="3"/>
      <c r="B841" s="3"/>
      <c r="C841" s="3"/>
      <c r="D841" s="3"/>
      <c r="E841" s="3"/>
      <c r="F841" s="3"/>
    </row>
    <row r="842" spans="1:6" ht="15.75" customHeight="1">
      <c r="A842" s="3"/>
      <c r="B842" s="3"/>
      <c r="C842" s="3"/>
      <c r="D842" s="3"/>
      <c r="E842" s="3"/>
      <c r="F842" s="3"/>
    </row>
    <row r="843" spans="1:6" ht="15.75" customHeight="1">
      <c r="A843" s="3"/>
      <c r="B843" s="3"/>
      <c r="C843" s="3"/>
      <c r="D843" s="3"/>
      <c r="E843" s="3"/>
      <c r="F843" s="3"/>
    </row>
    <row r="844" spans="1:6" ht="15.75" customHeight="1">
      <c r="A844" s="3"/>
      <c r="B844" s="3"/>
      <c r="C844" s="3"/>
      <c r="D844" s="3"/>
      <c r="E844" s="3"/>
      <c r="F844" s="3"/>
    </row>
    <row r="845" spans="1:6" ht="15.75" customHeight="1">
      <c r="A845" s="3"/>
      <c r="B845" s="3"/>
      <c r="C845" s="3"/>
      <c r="D845" s="3"/>
      <c r="E845" s="3"/>
      <c r="F845" s="3"/>
    </row>
    <row r="846" spans="1:6" ht="15.75" customHeight="1">
      <c r="A846" s="3"/>
      <c r="B846" s="3"/>
      <c r="C846" s="3"/>
      <c r="D846" s="3"/>
      <c r="E846" s="3"/>
      <c r="F846" s="3"/>
    </row>
    <row r="847" spans="1:6" ht="15.75" customHeight="1">
      <c r="A847" s="3"/>
      <c r="B847" s="3"/>
      <c r="C847" s="3"/>
      <c r="D847" s="3"/>
      <c r="E847" s="3"/>
      <c r="F847" s="3"/>
    </row>
    <row r="848" spans="1:6" ht="15.75" customHeight="1">
      <c r="A848" s="3"/>
      <c r="B848" s="3"/>
      <c r="C848" s="3"/>
      <c r="D848" s="3"/>
      <c r="E848" s="3"/>
      <c r="F848" s="3"/>
    </row>
    <row r="849" spans="1:6" ht="15.75" customHeight="1">
      <c r="A849" s="3"/>
      <c r="B849" s="3"/>
      <c r="C849" s="3"/>
      <c r="D849" s="3"/>
      <c r="E849" s="3"/>
      <c r="F849" s="3"/>
    </row>
    <row r="850" spans="1:6" ht="15.75" customHeight="1">
      <c r="A850" s="3"/>
      <c r="B850" s="3"/>
      <c r="C850" s="3"/>
      <c r="D850" s="3"/>
      <c r="E850" s="3"/>
      <c r="F850" s="3"/>
    </row>
    <row r="851" spans="1:6" ht="15.75" customHeight="1">
      <c r="A851" s="3"/>
      <c r="B851" s="3"/>
      <c r="C851" s="3"/>
      <c r="D851" s="3"/>
      <c r="E851" s="3"/>
      <c r="F851" s="3"/>
    </row>
    <row r="852" spans="1:6" ht="15.75" customHeight="1">
      <c r="A852" s="3"/>
      <c r="B852" s="3"/>
      <c r="C852" s="3"/>
      <c r="D852" s="3"/>
      <c r="E852" s="3"/>
      <c r="F852" s="3"/>
    </row>
    <row r="853" spans="1:6" ht="15.75" customHeight="1">
      <c r="A853" s="3"/>
      <c r="B853" s="3"/>
      <c r="C853" s="3"/>
      <c r="D853" s="3"/>
      <c r="E853" s="3"/>
      <c r="F853" s="3"/>
    </row>
    <row r="854" spans="1:6" ht="15.75" customHeight="1">
      <c r="A854" s="3"/>
      <c r="B854" s="3"/>
      <c r="C854" s="3"/>
      <c r="D854" s="3"/>
      <c r="E854" s="3"/>
      <c r="F854" s="3"/>
    </row>
    <row r="855" spans="1:6" ht="15.75" customHeight="1">
      <c r="A855" s="3"/>
      <c r="B855" s="3"/>
      <c r="C855" s="3"/>
      <c r="D855" s="3"/>
      <c r="E855" s="3"/>
      <c r="F855" s="3"/>
    </row>
    <row r="856" spans="1:6" ht="15.75" customHeight="1">
      <c r="A856" s="3"/>
      <c r="B856" s="3"/>
      <c r="C856" s="3"/>
      <c r="D856" s="3"/>
      <c r="E856" s="3"/>
      <c r="F856" s="3"/>
    </row>
    <row r="857" spans="1:6" ht="15.75" customHeight="1">
      <c r="A857" s="3"/>
      <c r="B857" s="3"/>
      <c r="C857" s="3"/>
      <c r="D857" s="3"/>
      <c r="E857" s="3"/>
      <c r="F857" s="3"/>
    </row>
    <row r="858" spans="1:6" ht="15.75" customHeight="1">
      <c r="A858" s="3"/>
      <c r="B858" s="3"/>
      <c r="C858" s="3"/>
      <c r="D858" s="3"/>
      <c r="E858" s="3"/>
      <c r="F858" s="3"/>
    </row>
    <row r="859" spans="1:6" ht="15.75" customHeight="1">
      <c r="A859" s="3"/>
      <c r="B859" s="3"/>
      <c r="C859" s="3"/>
      <c r="D859" s="3"/>
      <c r="E859" s="3"/>
      <c r="F859" s="3"/>
    </row>
    <row r="860" spans="1:6" ht="15.75" customHeight="1">
      <c r="A860" s="3"/>
      <c r="B860" s="3"/>
      <c r="C860" s="3"/>
      <c r="D860" s="3"/>
      <c r="E860" s="3"/>
      <c r="F860" s="3"/>
    </row>
    <row r="861" spans="1:6" ht="15.75" customHeight="1">
      <c r="A861" s="3"/>
      <c r="B861" s="3"/>
      <c r="C861" s="3"/>
      <c r="D861" s="3"/>
      <c r="E861" s="3"/>
      <c r="F861" s="3"/>
    </row>
    <row r="862" spans="1:6" ht="15.75" customHeight="1">
      <c r="A862" s="3"/>
      <c r="B862" s="3"/>
      <c r="C862" s="3"/>
      <c r="D862" s="3"/>
      <c r="E862" s="3"/>
      <c r="F862" s="3"/>
    </row>
    <row r="863" spans="1:6" ht="15.75" customHeight="1">
      <c r="A863" s="3"/>
      <c r="B863" s="3"/>
      <c r="C863" s="3"/>
      <c r="D863" s="3"/>
      <c r="E863" s="3"/>
      <c r="F863" s="3"/>
    </row>
    <row r="864" spans="1:6" ht="15.75" customHeight="1">
      <c r="A864" s="3"/>
      <c r="B864" s="3"/>
      <c r="C864" s="3"/>
      <c r="D864" s="3"/>
      <c r="E864" s="3"/>
      <c r="F864" s="3"/>
    </row>
    <row r="865" spans="1:6" ht="15.75" customHeight="1">
      <c r="A865" s="3"/>
      <c r="B865" s="3"/>
      <c r="C865" s="3"/>
      <c r="D865" s="3"/>
      <c r="E865" s="3"/>
      <c r="F865" s="3"/>
    </row>
    <row r="866" spans="1:6" ht="15.75" customHeight="1">
      <c r="A866" s="3"/>
      <c r="B866" s="3"/>
      <c r="C866" s="3"/>
      <c r="D866" s="3"/>
      <c r="E866" s="3"/>
      <c r="F866" s="3"/>
    </row>
    <row r="867" spans="1:6" ht="15.75" customHeight="1">
      <c r="A867" s="3"/>
      <c r="B867" s="3"/>
      <c r="C867" s="3"/>
      <c r="D867" s="3"/>
      <c r="E867" s="3"/>
      <c r="F867" s="3"/>
    </row>
    <row r="868" spans="1:6" ht="15.75" customHeight="1">
      <c r="A868" s="3"/>
      <c r="B868" s="3"/>
      <c r="C868" s="3"/>
      <c r="D868" s="3"/>
      <c r="E868" s="3"/>
      <c r="F868" s="3"/>
    </row>
    <row r="869" spans="1:6" ht="15.75" customHeight="1">
      <c r="A869" s="3"/>
      <c r="B869" s="3"/>
      <c r="C869" s="3"/>
      <c r="D869" s="3"/>
      <c r="E869" s="3"/>
      <c r="F869" s="3"/>
    </row>
    <row r="870" spans="1:6" ht="15.75" customHeight="1">
      <c r="A870" s="3"/>
      <c r="B870" s="3"/>
      <c r="C870" s="3"/>
      <c r="D870" s="3"/>
      <c r="E870" s="3"/>
      <c r="F870" s="3"/>
    </row>
    <row r="871" spans="1:6" ht="15.75" customHeight="1">
      <c r="A871" s="3"/>
      <c r="B871" s="3"/>
      <c r="C871" s="3"/>
      <c r="D871" s="3"/>
      <c r="E871" s="3"/>
      <c r="F871" s="3"/>
    </row>
    <row r="872" spans="1:6" ht="15.75" customHeight="1">
      <c r="A872" s="3"/>
      <c r="B872" s="3"/>
      <c r="C872" s="3"/>
      <c r="D872" s="3"/>
      <c r="E872" s="3"/>
      <c r="F872" s="3"/>
    </row>
    <row r="873" spans="1:6" ht="15.75" customHeight="1">
      <c r="A873" s="3"/>
      <c r="B873" s="3"/>
      <c r="C873" s="3"/>
      <c r="D873" s="3"/>
      <c r="E873" s="3"/>
      <c r="F873" s="3"/>
    </row>
    <row r="874" spans="1:6" ht="15.75" customHeight="1">
      <c r="A874" s="3"/>
      <c r="B874" s="3"/>
      <c r="C874" s="3"/>
      <c r="D874" s="3"/>
      <c r="E874" s="3"/>
      <c r="F874" s="3"/>
    </row>
    <row r="875" spans="1:6" ht="15.75" customHeight="1">
      <c r="A875" s="3"/>
      <c r="B875" s="3"/>
      <c r="C875" s="3"/>
      <c r="D875" s="3"/>
      <c r="E875" s="3"/>
      <c r="F875" s="3"/>
    </row>
    <row r="876" spans="1:6" ht="15.75" customHeight="1">
      <c r="A876" s="3"/>
      <c r="B876" s="3"/>
      <c r="C876" s="3"/>
      <c r="D876" s="3"/>
      <c r="E876" s="3"/>
      <c r="F876" s="3"/>
    </row>
    <row r="877" spans="1:6" ht="15.75" customHeight="1">
      <c r="A877" s="3"/>
      <c r="B877" s="3"/>
      <c r="C877" s="3"/>
      <c r="D877" s="3"/>
      <c r="E877" s="3"/>
      <c r="F877" s="3"/>
    </row>
    <row r="878" spans="1:6" ht="15.75" customHeight="1">
      <c r="A878" s="3"/>
      <c r="B878" s="3"/>
      <c r="C878" s="3"/>
      <c r="D878" s="3"/>
      <c r="E878" s="3"/>
      <c r="F878" s="3"/>
    </row>
    <row r="879" spans="1:6" ht="15.75" customHeight="1">
      <c r="A879" s="3"/>
      <c r="B879" s="3"/>
      <c r="C879" s="3"/>
      <c r="D879" s="3"/>
      <c r="E879" s="3"/>
      <c r="F879" s="3"/>
    </row>
    <row r="880" spans="1:6" ht="15.75" customHeight="1">
      <c r="A880" s="3"/>
      <c r="B880" s="3"/>
      <c r="C880" s="3"/>
      <c r="D880" s="3"/>
      <c r="E880" s="3"/>
      <c r="F880" s="3"/>
    </row>
    <row r="881" spans="1:6" ht="15.75" customHeight="1">
      <c r="A881" s="3"/>
      <c r="B881" s="3"/>
      <c r="C881" s="3"/>
      <c r="D881" s="3"/>
      <c r="E881" s="3"/>
      <c r="F881" s="3"/>
    </row>
    <row r="882" spans="1:6" ht="15.75" customHeight="1">
      <c r="A882" s="3"/>
      <c r="B882" s="3"/>
      <c r="C882" s="3"/>
      <c r="D882" s="3"/>
      <c r="E882" s="3"/>
      <c r="F882" s="3"/>
    </row>
    <row r="883" spans="1:6" ht="15.75" customHeight="1">
      <c r="A883" s="3"/>
      <c r="B883" s="3"/>
      <c r="C883" s="3"/>
      <c r="D883" s="3"/>
      <c r="E883" s="3"/>
      <c r="F883" s="3"/>
    </row>
    <row r="884" spans="1:6" ht="15.75" customHeight="1">
      <c r="A884" s="3"/>
      <c r="B884" s="3"/>
      <c r="C884" s="3"/>
      <c r="D884" s="3"/>
      <c r="E884" s="3"/>
      <c r="F884" s="3"/>
    </row>
    <row r="885" spans="1:6" ht="15.75" customHeight="1">
      <c r="A885" s="3"/>
      <c r="B885" s="3"/>
      <c r="C885" s="3"/>
      <c r="D885" s="3"/>
      <c r="E885" s="3"/>
      <c r="F885" s="3"/>
    </row>
    <row r="886" spans="1:6" ht="15.75" customHeight="1">
      <c r="A886" s="3"/>
      <c r="B886" s="3"/>
      <c r="C886" s="3"/>
      <c r="D886" s="3"/>
      <c r="E886" s="3"/>
      <c r="F886" s="3"/>
    </row>
    <row r="887" spans="1:6" ht="15.75" customHeight="1">
      <c r="A887" s="3"/>
      <c r="B887" s="3"/>
      <c r="C887" s="3"/>
      <c r="D887" s="3"/>
      <c r="E887" s="3"/>
      <c r="F887" s="3"/>
    </row>
    <row r="888" spans="1:6" ht="15.75" customHeight="1">
      <c r="A888" s="3"/>
      <c r="B888" s="3"/>
      <c r="C888" s="3"/>
      <c r="D888" s="3"/>
      <c r="E888" s="3"/>
      <c r="F888" s="3"/>
    </row>
    <row r="889" spans="1:6" ht="15.75" customHeight="1">
      <c r="A889" s="3"/>
      <c r="B889" s="3"/>
      <c r="C889" s="3"/>
      <c r="D889" s="3"/>
      <c r="E889" s="3"/>
      <c r="F889" s="3"/>
    </row>
    <row r="890" spans="1:6" ht="15.75" customHeight="1">
      <c r="A890" s="3"/>
      <c r="B890" s="3"/>
      <c r="C890" s="3"/>
      <c r="D890" s="3"/>
      <c r="E890" s="3"/>
      <c r="F890" s="3"/>
    </row>
    <row r="891" spans="1:6" ht="15.75" customHeight="1">
      <c r="A891" s="3"/>
      <c r="B891" s="3"/>
      <c r="C891" s="3"/>
      <c r="D891" s="3"/>
      <c r="E891" s="3"/>
      <c r="F891" s="3"/>
    </row>
    <row r="892" spans="1:6" ht="15.75" customHeight="1">
      <c r="A892" s="3"/>
      <c r="B892" s="3"/>
      <c r="C892" s="3"/>
      <c r="D892" s="3"/>
      <c r="E892" s="3"/>
      <c r="F892" s="3"/>
    </row>
    <row r="893" spans="1:6" ht="15.75" customHeight="1">
      <c r="A893" s="3"/>
      <c r="B893" s="3"/>
      <c r="C893" s="3"/>
      <c r="D893" s="3"/>
      <c r="E893" s="3"/>
      <c r="F893" s="3"/>
    </row>
    <row r="894" spans="1:6" ht="15.75" customHeight="1">
      <c r="A894" s="3"/>
      <c r="B894" s="3"/>
      <c r="C894" s="3"/>
      <c r="D894" s="3"/>
      <c r="E894" s="3"/>
      <c r="F894" s="3"/>
    </row>
    <row r="895" spans="1:6" ht="15.75" customHeight="1">
      <c r="A895" s="3"/>
      <c r="B895" s="3"/>
      <c r="C895" s="3"/>
      <c r="D895" s="3"/>
      <c r="E895" s="3"/>
      <c r="F895" s="3"/>
    </row>
    <row r="896" spans="1:6" ht="15.75" customHeight="1">
      <c r="A896" s="3"/>
      <c r="B896" s="3"/>
      <c r="C896" s="3"/>
      <c r="D896" s="3"/>
      <c r="E896" s="3"/>
      <c r="F896" s="3"/>
    </row>
    <row r="897" spans="1:6" ht="15.75" customHeight="1">
      <c r="A897" s="3"/>
      <c r="B897" s="3"/>
      <c r="C897" s="3"/>
      <c r="D897" s="3"/>
      <c r="E897" s="3"/>
      <c r="F897" s="3"/>
    </row>
    <row r="898" spans="1:6" ht="15.75" customHeight="1">
      <c r="A898" s="3"/>
      <c r="B898" s="3"/>
      <c r="C898" s="3"/>
      <c r="D898" s="3"/>
      <c r="E898" s="3"/>
      <c r="F898" s="3"/>
    </row>
    <row r="899" spans="1:6" ht="15.75" customHeight="1">
      <c r="A899" s="3"/>
      <c r="B899" s="3"/>
      <c r="C899" s="3"/>
      <c r="D899" s="3"/>
      <c r="E899" s="3"/>
      <c r="F899" s="3"/>
    </row>
    <row r="900" spans="1:6" ht="15.75" customHeight="1">
      <c r="A900" s="3"/>
      <c r="B900" s="3"/>
      <c r="C900" s="3"/>
      <c r="D900" s="3"/>
      <c r="E900" s="3"/>
      <c r="F900" s="3"/>
    </row>
    <row r="901" spans="1:6" ht="15.75" customHeight="1">
      <c r="A901" s="3"/>
      <c r="B901" s="3"/>
      <c r="C901" s="3"/>
      <c r="D901" s="3"/>
      <c r="E901" s="3"/>
      <c r="F901" s="3"/>
    </row>
    <row r="902" spans="1:6" ht="15.75" customHeight="1">
      <c r="A902" s="3"/>
      <c r="B902" s="3"/>
      <c r="C902" s="3"/>
      <c r="D902" s="3"/>
      <c r="E902" s="3"/>
      <c r="F902" s="3"/>
    </row>
    <row r="903" spans="1:6" ht="15.75" customHeight="1">
      <c r="A903" s="3"/>
      <c r="B903" s="3"/>
      <c r="C903" s="3"/>
      <c r="D903" s="3"/>
      <c r="E903" s="3"/>
      <c r="F903" s="3"/>
    </row>
    <row r="904" spans="1:6" ht="15.75" customHeight="1">
      <c r="A904" s="3"/>
      <c r="B904" s="3"/>
      <c r="C904" s="3"/>
      <c r="D904" s="3"/>
      <c r="E904" s="3"/>
      <c r="F904" s="3"/>
    </row>
    <row r="905" spans="1:6" ht="15.75" customHeight="1">
      <c r="A905" s="3"/>
      <c r="B905" s="3"/>
      <c r="C905" s="3"/>
      <c r="D905" s="3"/>
      <c r="E905" s="3"/>
      <c r="F905" s="3"/>
    </row>
    <row r="906" spans="1:6" ht="15.75" customHeight="1">
      <c r="A906" s="3"/>
      <c r="B906" s="3"/>
      <c r="C906" s="3"/>
      <c r="D906" s="3"/>
      <c r="E906" s="3"/>
      <c r="F906" s="3"/>
    </row>
    <row r="907" spans="1:6" ht="15.75" customHeight="1">
      <c r="A907" s="3"/>
      <c r="B907" s="3"/>
      <c r="C907" s="3"/>
      <c r="D907" s="3"/>
      <c r="E907" s="3"/>
      <c r="F907" s="3"/>
    </row>
    <row r="908" spans="1:6" ht="15.75" customHeight="1">
      <c r="A908" s="3"/>
      <c r="B908" s="3"/>
      <c r="C908" s="3"/>
      <c r="D908" s="3"/>
      <c r="E908" s="3"/>
      <c r="F908" s="3"/>
    </row>
    <row r="909" spans="1:6" ht="15.75" customHeight="1">
      <c r="A909" s="3"/>
      <c r="B909" s="3"/>
      <c r="C909" s="3"/>
      <c r="D909" s="3"/>
      <c r="E909" s="3"/>
      <c r="F909" s="3"/>
    </row>
    <row r="910" spans="1:6" ht="15.75" customHeight="1">
      <c r="A910" s="3"/>
      <c r="B910" s="3"/>
      <c r="C910" s="3"/>
      <c r="D910" s="3"/>
      <c r="E910" s="3"/>
      <c r="F910" s="3"/>
    </row>
    <row r="911" spans="1:6" ht="15.75" customHeight="1">
      <c r="A911" s="3"/>
      <c r="B911" s="3"/>
      <c r="C911" s="3"/>
      <c r="D911" s="3"/>
      <c r="E911" s="3"/>
      <c r="F911" s="3"/>
    </row>
    <row r="912" spans="1:6" ht="15.75" customHeight="1">
      <c r="A912" s="3"/>
      <c r="B912" s="3"/>
      <c r="C912" s="3"/>
      <c r="D912" s="3"/>
      <c r="E912" s="3"/>
      <c r="F912" s="3"/>
    </row>
    <row r="913" spans="1:6" ht="15.75" customHeight="1">
      <c r="A913" s="3"/>
      <c r="B913" s="3"/>
      <c r="C913" s="3"/>
      <c r="D913" s="3"/>
      <c r="E913" s="3"/>
      <c r="F913" s="3"/>
    </row>
    <row r="914" spans="1:6" ht="15.75" customHeight="1">
      <c r="A914" s="3"/>
      <c r="B914" s="3"/>
      <c r="C914" s="3"/>
      <c r="D914" s="3"/>
      <c r="E914" s="3"/>
      <c r="F914" s="3"/>
    </row>
    <row r="915" spans="1:6" ht="15.75" customHeight="1">
      <c r="A915" s="3"/>
      <c r="B915" s="3"/>
      <c r="C915" s="3"/>
      <c r="D915" s="3"/>
      <c r="E915" s="3"/>
      <c r="F915" s="3"/>
    </row>
    <row r="916" spans="1:6" ht="15.75" customHeight="1">
      <c r="A916" s="3"/>
      <c r="B916" s="3"/>
      <c r="C916" s="3"/>
      <c r="D916" s="3"/>
      <c r="E916" s="3"/>
      <c r="F916" s="3"/>
    </row>
    <row r="917" spans="1:6" ht="15.75" customHeight="1">
      <c r="A917" s="3"/>
      <c r="B917" s="3"/>
      <c r="C917" s="3"/>
      <c r="D917" s="3"/>
      <c r="E917" s="3"/>
      <c r="F917" s="3"/>
    </row>
    <row r="918" spans="1:6" ht="15.75" customHeight="1">
      <c r="A918" s="3"/>
      <c r="B918" s="3"/>
      <c r="C918" s="3"/>
      <c r="D918" s="3"/>
      <c r="E918" s="3"/>
      <c r="F918" s="3"/>
    </row>
    <row r="919" spans="1:6" ht="15.75" customHeight="1">
      <c r="A919" s="3"/>
      <c r="B919" s="3"/>
      <c r="C919" s="3"/>
      <c r="D919" s="3"/>
      <c r="E919" s="3"/>
      <c r="F919" s="3"/>
    </row>
    <row r="920" spans="1:6" ht="15.75" customHeight="1">
      <c r="A920" s="3"/>
      <c r="B920" s="3"/>
      <c r="C920" s="3"/>
      <c r="D920" s="3"/>
      <c r="E920" s="3"/>
      <c r="F920" s="3"/>
    </row>
    <row r="921" spans="1:6" ht="15.75" customHeight="1">
      <c r="A921" s="3"/>
      <c r="B921" s="3"/>
      <c r="C921" s="3"/>
      <c r="D921" s="3"/>
      <c r="E921" s="3"/>
      <c r="F921" s="3"/>
    </row>
    <row r="922" spans="1:6" ht="15.75" customHeight="1">
      <c r="A922" s="3"/>
      <c r="B922" s="3"/>
      <c r="C922" s="3"/>
      <c r="D922" s="3"/>
      <c r="E922" s="3"/>
      <c r="F922" s="3"/>
    </row>
    <row r="923" spans="1:6" ht="15.75" customHeight="1">
      <c r="A923" s="3"/>
      <c r="B923" s="3"/>
      <c r="C923" s="3"/>
      <c r="D923" s="3"/>
      <c r="E923" s="3"/>
      <c r="F923" s="3"/>
    </row>
    <row r="924" spans="1:6" ht="15.75" customHeight="1">
      <c r="A924" s="3"/>
      <c r="B924" s="3"/>
      <c r="C924" s="3"/>
      <c r="D924" s="3"/>
      <c r="E924" s="3"/>
      <c r="F924" s="3"/>
    </row>
    <row r="925" spans="1:6" ht="15.75" customHeight="1">
      <c r="A925" s="3"/>
      <c r="B925" s="3"/>
      <c r="C925" s="3"/>
      <c r="D925" s="3"/>
      <c r="E925" s="3"/>
      <c r="F925" s="3"/>
    </row>
    <row r="926" spans="1:6" ht="15.75" customHeight="1">
      <c r="A926" s="3"/>
      <c r="B926" s="3"/>
      <c r="C926" s="3"/>
      <c r="D926" s="3"/>
      <c r="E926" s="3"/>
      <c r="F926" s="3"/>
    </row>
    <row r="927" spans="1:6" ht="15.75" customHeight="1">
      <c r="A927" s="3"/>
      <c r="B927" s="3"/>
      <c r="C927" s="3"/>
      <c r="D927" s="3"/>
      <c r="E927" s="3"/>
      <c r="F927" s="3"/>
    </row>
    <row r="928" spans="1:6" ht="15.75" customHeight="1">
      <c r="A928" s="3"/>
      <c r="B928" s="3"/>
      <c r="C928" s="3"/>
      <c r="D928" s="3"/>
      <c r="E928" s="3"/>
      <c r="F928" s="3"/>
    </row>
    <row r="929" spans="1:6" ht="15.75" customHeight="1">
      <c r="A929" s="3"/>
      <c r="B929" s="3"/>
      <c r="C929" s="3"/>
      <c r="D929" s="3"/>
      <c r="E929" s="3"/>
      <c r="F929" s="3"/>
    </row>
    <row r="930" spans="1:6" ht="15.75" customHeight="1">
      <c r="A930" s="3"/>
      <c r="B930" s="3"/>
      <c r="C930" s="3"/>
      <c r="D930" s="3"/>
      <c r="E930" s="3"/>
      <c r="F930" s="3"/>
    </row>
    <row r="931" spans="1:6" ht="15.75" customHeight="1">
      <c r="A931" s="3"/>
      <c r="B931" s="3"/>
      <c r="C931" s="3"/>
      <c r="D931" s="3"/>
      <c r="E931" s="3"/>
      <c r="F931" s="3"/>
    </row>
    <row r="932" spans="1:6" ht="15.75" customHeight="1">
      <c r="A932" s="3"/>
      <c r="B932" s="3"/>
      <c r="C932" s="3"/>
      <c r="D932" s="3"/>
      <c r="E932" s="3"/>
      <c r="F932" s="3"/>
    </row>
    <row r="933" spans="1:6" ht="15.75" customHeight="1">
      <c r="A933" s="3"/>
      <c r="B933" s="3"/>
      <c r="C933" s="3"/>
      <c r="D933" s="3"/>
      <c r="E933" s="3"/>
      <c r="F933" s="3"/>
    </row>
    <row r="934" spans="1:6" ht="15.75" customHeight="1">
      <c r="A934" s="3"/>
      <c r="B934" s="3"/>
      <c r="C934" s="3"/>
      <c r="D934" s="3"/>
      <c r="E934" s="3"/>
      <c r="F934" s="3"/>
    </row>
    <row r="935" spans="1:6" ht="15.75" customHeight="1">
      <c r="A935" s="3"/>
      <c r="B935" s="3"/>
      <c r="C935" s="3"/>
      <c r="D935" s="3"/>
      <c r="E935" s="3"/>
      <c r="F935" s="3"/>
    </row>
    <row r="936" spans="1:6" ht="15.75" customHeight="1">
      <c r="A936" s="3"/>
      <c r="B936" s="3"/>
      <c r="C936" s="3"/>
      <c r="D936" s="3"/>
      <c r="E936" s="3"/>
      <c r="F936" s="3"/>
    </row>
    <row r="937" spans="1:6" ht="15.75" customHeight="1">
      <c r="A937" s="3"/>
      <c r="B937" s="3"/>
      <c r="C937" s="3"/>
      <c r="D937" s="3"/>
      <c r="E937" s="3"/>
      <c r="F937" s="3"/>
    </row>
    <row r="938" spans="1:6" ht="15.75" customHeight="1">
      <c r="A938" s="3"/>
      <c r="B938" s="3"/>
      <c r="C938" s="3"/>
      <c r="D938" s="3"/>
      <c r="E938" s="3"/>
      <c r="F938" s="3"/>
    </row>
    <row r="939" spans="1:6" ht="15.75" customHeight="1">
      <c r="A939" s="3"/>
      <c r="B939" s="3"/>
      <c r="C939" s="3"/>
      <c r="D939" s="3"/>
      <c r="E939" s="3"/>
      <c r="F939" s="3"/>
    </row>
    <row r="940" spans="1:6" ht="15.75" customHeight="1">
      <c r="A940" s="3"/>
      <c r="B940" s="3"/>
      <c r="C940" s="3"/>
      <c r="D940" s="3"/>
      <c r="E940" s="3"/>
      <c r="F940" s="3"/>
    </row>
    <row r="941" spans="1:6" ht="15.75" customHeight="1">
      <c r="A941" s="3"/>
      <c r="B941" s="3"/>
      <c r="C941" s="3"/>
      <c r="D941" s="3"/>
      <c r="E941" s="3"/>
      <c r="F941" s="3"/>
    </row>
    <row r="942" spans="1:6" ht="15.75" customHeight="1">
      <c r="A942" s="3"/>
      <c r="B942" s="3"/>
      <c r="C942" s="3"/>
      <c r="D942" s="3"/>
      <c r="E942" s="3"/>
      <c r="F942" s="3"/>
    </row>
    <row r="943" spans="1:6" ht="15.75" customHeight="1">
      <c r="A943" s="3"/>
      <c r="B943" s="3"/>
      <c r="C943" s="3"/>
      <c r="D943" s="3"/>
      <c r="E943" s="3"/>
      <c r="F943" s="3"/>
    </row>
    <row r="944" spans="1:6" ht="15.75" customHeight="1">
      <c r="A944" s="3"/>
      <c r="B944" s="3"/>
      <c r="C944" s="3"/>
      <c r="D944" s="3"/>
      <c r="E944" s="3"/>
      <c r="F944" s="3"/>
    </row>
    <row r="945" spans="1:6" ht="15.75" customHeight="1">
      <c r="A945" s="3"/>
      <c r="B945" s="3"/>
      <c r="C945" s="3"/>
      <c r="D945" s="3"/>
      <c r="E945" s="3"/>
      <c r="F945" s="3"/>
    </row>
    <row r="946" spans="1:6" ht="15.75" customHeight="1">
      <c r="A946" s="3"/>
      <c r="B946" s="3"/>
      <c r="C946" s="3"/>
      <c r="D946" s="3"/>
      <c r="E946" s="3"/>
      <c r="F946" s="3"/>
    </row>
    <row r="947" spans="1:6" ht="15.75" customHeight="1">
      <c r="A947" s="3"/>
      <c r="B947" s="3"/>
      <c r="C947" s="3"/>
      <c r="D947" s="3"/>
      <c r="E947" s="3"/>
      <c r="F947" s="3"/>
    </row>
    <row r="948" spans="1:6" ht="15.75" customHeight="1">
      <c r="A948" s="3"/>
      <c r="B948" s="3"/>
      <c r="C948" s="3"/>
      <c r="D948" s="3"/>
      <c r="E948" s="3"/>
      <c r="F948" s="3"/>
    </row>
    <row r="949" spans="1:6" ht="15.75" customHeight="1">
      <c r="A949" s="3"/>
      <c r="B949" s="3"/>
      <c r="C949" s="3"/>
      <c r="D949" s="3"/>
      <c r="E949" s="3"/>
      <c r="F949" s="3"/>
    </row>
    <row r="950" spans="1:6" ht="15.75" customHeight="1">
      <c r="A950" s="3"/>
      <c r="B950" s="3"/>
      <c r="C950" s="3"/>
      <c r="D950" s="3"/>
      <c r="E950" s="3"/>
      <c r="F950" s="3"/>
    </row>
    <row r="951" spans="1:6" ht="15.75" customHeight="1">
      <c r="A951" s="3"/>
      <c r="B951" s="3"/>
      <c r="C951" s="3"/>
      <c r="D951" s="3"/>
      <c r="E951" s="3"/>
      <c r="F951" s="3"/>
    </row>
    <row r="952" spans="1:6" ht="15.75" customHeight="1">
      <c r="A952" s="3"/>
      <c r="B952" s="3"/>
      <c r="C952" s="3"/>
      <c r="D952" s="3"/>
      <c r="E952" s="3"/>
      <c r="F952" s="3"/>
    </row>
    <row r="953" spans="1:6" ht="15.75" customHeight="1">
      <c r="A953" s="3"/>
      <c r="B953" s="3"/>
      <c r="C953" s="3"/>
      <c r="D953" s="3"/>
      <c r="E953" s="3"/>
      <c r="F953" s="3"/>
    </row>
    <row r="954" spans="1:6" ht="15.75" customHeight="1">
      <c r="A954" s="3"/>
      <c r="B954" s="3"/>
      <c r="C954" s="3"/>
      <c r="D954" s="3"/>
      <c r="E954" s="3"/>
      <c r="F954" s="3"/>
    </row>
    <row r="955" spans="1:6" ht="15.75" customHeight="1">
      <c r="A955" s="3"/>
      <c r="B955" s="3"/>
      <c r="C955" s="3"/>
      <c r="D955" s="3"/>
      <c r="E955" s="3"/>
      <c r="F955" s="3"/>
    </row>
    <row r="956" spans="1:6" ht="15.75" customHeight="1">
      <c r="A956" s="3"/>
      <c r="B956" s="3"/>
      <c r="C956" s="3"/>
      <c r="D956" s="3"/>
      <c r="E956" s="3"/>
      <c r="F956" s="3"/>
    </row>
    <row r="957" spans="1:6" ht="15.75" customHeight="1">
      <c r="A957" s="3"/>
      <c r="B957" s="3"/>
      <c r="C957" s="3"/>
      <c r="D957" s="3"/>
      <c r="E957" s="3"/>
      <c r="F957" s="3"/>
    </row>
    <row r="958" spans="1:6" ht="15.75" customHeight="1">
      <c r="A958" s="3"/>
      <c r="B958" s="3"/>
      <c r="C958" s="3"/>
      <c r="D958" s="3"/>
      <c r="E958" s="3"/>
      <c r="F958" s="3"/>
    </row>
    <row r="959" spans="1:6" ht="15.75" customHeight="1">
      <c r="A959" s="3"/>
      <c r="B959" s="3"/>
      <c r="C959" s="3"/>
      <c r="D959" s="3"/>
      <c r="E959" s="3"/>
      <c r="F959" s="3"/>
    </row>
    <row r="960" spans="1:6" ht="15.75" customHeight="1">
      <c r="A960" s="3"/>
      <c r="B960" s="3"/>
      <c r="C960" s="3"/>
      <c r="D960" s="3"/>
      <c r="E960" s="3"/>
      <c r="F960" s="3"/>
    </row>
    <row r="961" spans="1:6" ht="15.75" customHeight="1">
      <c r="A961" s="3"/>
      <c r="B961" s="3"/>
      <c r="C961" s="3"/>
      <c r="D961" s="3"/>
      <c r="E961" s="3"/>
      <c r="F961" s="3"/>
    </row>
    <row r="962" spans="1:6" ht="15.75" customHeight="1">
      <c r="A962" s="3"/>
      <c r="B962" s="3"/>
      <c r="C962" s="3"/>
      <c r="D962" s="3"/>
      <c r="E962" s="3"/>
      <c r="F962" s="3"/>
    </row>
    <row r="963" spans="1:6" ht="15.75" customHeight="1">
      <c r="A963" s="3"/>
      <c r="B963" s="3"/>
      <c r="C963" s="3"/>
      <c r="D963" s="3"/>
      <c r="E963" s="3"/>
      <c r="F963" s="3"/>
    </row>
    <row r="964" spans="1:6" ht="15.75" customHeight="1">
      <c r="A964" s="3"/>
      <c r="B964" s="3"/>
      <c r="C964" s="3"/>
      <c r="D964" s="3"/>
      <c r="E964" s="3"/>
      <c r="F964" s="3"/>
    </row>
    <row r="965" spans="1:6" ht="15.75" customHeight="1">
      <c r="A965" s="3"/>
      <c r="B965" s="3"/>
      <c r="C965" s="3"/>
      <c r="D965" s="3"/>
      <c r="E965" s="3"/>
      <c r="F965" s="3"/>
    </row>
    <row r="966" spans="1:6" ht="15.75" customHeight="1">
      <c r="A966" s="3"/>
      <c r="B966" s="3"/>
      <c r="C966" s="3"/>
      <c r="D966" s="3"/>
      <c r="E966" s="3"/>
      <c r="F966" s="3"/>
    </row>
    <row r="967" spans="1:6" ht="15.75" customHeight="1">
      <c r="A967" s="3"/>
      <c r="B967" s="3"/>
      <c r="C967" s="3"/>
      <c r="D967" s="3"/>
      <c r="E967" s="3"/>
      <c r="F967" s="3"/>
    </row>
    <row r="968" spans="1:6" ht="15.75" customHeight="1">
      <c r="A968" s="3"/>
      <c r="B968" s="3"/>
      <c r="C968" s="3"/>
      <c r="D968" s="3"/>
      <c r="E968" s="3"/>
      <c r="F968" s="3"/>
    </row>
    <row r="969" spans="1:6" ht="15.75" customHeight="1">
      <c r="A969" s="3"/>
      <c r="B969" s="3"/>
      <c r="C969" s="3"/>
      <c r="D969" s="3"/>
      <c r="E969" s="3"/>
      <c r="F969" s="3"/>
    </row>
    <row r="970" spans="1:6" ht="15.75" customHeight="1">
      <c r="A970" s="3"/>
      <c r="B970" s="3"/>
      <c r="C970" s="3"/>
      <c r="D970" s="3"/>
      <c r="E970" s="3"/>
      <c r="F970" s="3"/>
    </row>
    <row r="971" spans="1:6" ht="15.75" customHeight="1">
      <c r="A971" s="3"/>
      <c r="B971" s="3"/>
      <c r="C971" s="3"/>
      <c r="D971" s="3"/>
      <c r="E971" s="3"/>
      <c r="F971" s="3"/>
    </row>
    <row r="972" spans="1:6" ht="15.75" customHeight="1">
      <c r="A972" s="3"/>
      <c r="B972" s="3"/>
      <c r="C972" s="3"/>
      <c r="D972" s="3"/>
      <c r="E972" s="3"/>
      <c r="F972" s="3"/>
    </row>
    <row r="973" spans="1:6" ht="15.75" customHeight="1">
      <c r="A973" s="3"/>
      <c r="B973" s="3"/>
      <c r="C973" s="3"/>
      <c r="D973" s="3"/>
      <c r="E973" s="3"/>
      <c r="F973" s="3"/>
    </row>
    <row r="974" spans="1:6" ht="15.75" customHeight="1">
      <c r="A974" s="3"/>
      <c r="B974" s="3"/>
      <c r="C974" s="3"/>
      <c r="D974" s="3"/>
      <c r="E974" s="3"/>
      <c r="F974" s="3"/>
    </row>
    <row r="975" spans="1:6" ht="15.75" customHeight="1">
      <c r="A975" s="3"/>
      <c r="B975" s="3"/>
      <c r="C975" s="3"/>
      <c r="D975" s="3"/>
      <c r="E975" s="3"/>
      <c r="F975" s="3"/>
    </row>
    <row r="976" spans="1:6" ht="15.75" customHeight="1">
      <c r="A976" s="3"/>
      <c r="B976" s="3"/>
      <c r="C976" s="3"/>
      <c r="D976" s="3"/>
      <c r="E976" s="3"/>
      <c r="F976" s="3"/>
    </row>
    <row r="977" spans="1:6" ht="15.75" customHeight="1">
      <c r="A977" s="3"/>
      <c r="B977" s="3"/>
      <c r="C977" s="3"/>
      <c r="D977" s="3"/>
      <c r="E977" s="3"/>
      <c r="F977" s="3"/>
    </row>
    <row r="978" spans="1:6" ht="15.75" customHeight="1">
      <c r="A978" s="3"/>
      <c r="B978" s="3"/>
      <c r="C978" s="3"/>
      <c r="D978" s="3"/>
      <c r="E978" s="3"/>
      <c r="F978" s="3"/>
    </row>
    <row r="979" spans="1:6" ht="15.75" customHeight="1">
      <c r="A979" s="3"/>
      <c r="B979" s="3"/>
      <c r="C979" s="3"/>
      <c r="D979" s="3"/>
      <c r="E979" s="3"/>
      <c r="F979" s="3"/>
    </row>
    <row r="980" spans="1:6" ht="15.75" customHeight="1">
      <c r="A980" s="3"/>
      <c r="B980" s="3"/>
      <c r="C980" s="3"/>
      <c r="D980" s="3"/>
      <c r="E980" s="3"/>
      <c r="F980" s="3"/>
    </row>
    <row r="981" spans="1:6" ht="15.75" customHeight="1">
      <c r="A981" s="3"/>
      <c r="B981" s="3"/>
      <c r="C981" s="3"/>
      <c r="D981" s="3"/>
      <c r="E981" s="3"/>
      <c r="F981" s="3"/>
    </row>
    <row r="982" spans="1:6" ht="15.75" customHeight="1">
      <c r="A982" s="3"/>
      <c r="B982" s="3"/>
      <c r="C982" s="3"/>
      <c r="D982" s="3"/>
      <c r="E982" s="3"/>
      <c r="F982" s="3"/>
    </row>
    <row r="983" spans="1:6" ht="15.75" customHeight="1">
      <c r="A983" s="3"/>
      <c r="B983" s="3"/>
      <c r="C983" s="3"/>
      <c r="D983" s="3"/>
      <c r="E983" s="3"/>
      <c r="F983" s="3"/>
    </row>
    <row r="984" spans="1:6" ht="15.75" customHeight="1">
      <c r="A984" s="3"/>
      <c r="B984" s="3"/>
      <c r="C984" s="3"/>
      <c r="D984" s="3"/>
      <c r="E984" s="3"/>
      <c r="F984" s="3"/>
    </row>
    <row r="985" spans="1:6" ht="15.75" customHeight="1">
      <c r="A985" s="3"/>
      <c r="B985" s="3"/>
      <c r="C985" s="3"/>
      <c r="D985" s="3"/>
      <c r="E985" s="3"/>
      <c r="F985" s="3"/>
    </row>
    <row r="986" spans="1:6" ht="15.75" customHeight="1">
      <c r="A986" s="3"/>
      <c r="B986" s="3"/>
      <c r="C986" s="3"/>
      <c r="D986" s="3"/>
      <c r="E986" s="3"/>
      <c r="F986" s="3"/>
    </row>
    <row r="987" spans="1:6" ht="15.75" customHeight="1">
      <c r="A987" s="3"/>
      <c r="B987" s="3"/>
      <c r="C987" s="3"/>
      <c r="D987" s="3"/>
      <c r="E987" s="3"/>
      <c r="F987" s="3"/>
    </row>
    <row r="988" spans="1:6" ht="15.75" customHeight="1">
      <c r="A988" s="3"/>
      <c r="B988" s="3"/>
      <c r="C988" s="3"/>
      <c r="D988" s="3"/>
      <c r="E988" s="3"/>
      <c r="F988" s="3"/>
    </row>
    <row r="989" spans="1:6" ht="15.75" customHeight="1">
      <c r="A989" s="3"/>
      <c r="B989" s="3"/>
      <c r="C989" s="3"/>
      <c r="D989" s="3"/>
      <c r="E989" s="3"/>
      <c r="F989" s="3"/>
    </row>
    <row r="990" spans="1:6" ht="15.75" customHeight="1">
      <c r="A990" s="3"/>
      <c r="B990" s="3"/>
      <c r="C990" s="3"/>
      <c r="D990" s="3"/>
      <c r="E990" s="3"/>
      <c r="F990" s="3"/>
    </row>
    <row r="991" spans="1:6" ht="15.75" customHeight="1">
      <c r="A991" s="3"/>
      <c r="B991" s="3"/>
      <c r="C991" s="3"/>
      <c r="D991" s="3"/>
      <c r="E991" s="3"/>
      <c r="F991" s="3"/>
    </row>
    <row r="992" spans="1:6" ht="15.75" customHeight="1">
      <c r="A992" s="3"/>
      <c r="B992" s="3"/>
      <c r="C992" s="3"/>
      <c r="D992" s="3"/>
      <c r="E992" s="3"/>
      <c r="F992" s="3"/>
    </row>
    <row r="993" spans="1:6" ht="15.75" customHeight="1">
      <c r="A993" s="3"/>
      <c r="B993" s="3"/>
      <c r="C993" s="3"/>
      <c r="D993" s="3"/>
      <c r="E993" s="3"/>
      <c r="F993" s="3"/>
    </row>
    <row r="994" spans="1:6" ht="15.75" customHeight="1">
      <c r="A994" s="3"/>
      <c r="B994" s="3"/>
      <c r="C994" s="3"/>
      <c r="D994" s="3"/>
      <c r="E994" s="3"/>
      <c r="F994" s="3"/>
    </row>
    <row r="995" spans="1:6" ht="15.75" customHeight="1">
      <c r="A995" s="3"/>
      <c r="B995" s="3"/>
      <c r="C995" s="3"/>
      <c r="D995" s="3"/>
      <c r="E995" s="3"/>
      <c r="F995" s="3"/>
    </row>
    <row r="996" spans="1:6" ht="15.75" customHeight="1">
      <c r="A996" s="3"/>
      <c r="B996" s="3"/>
      <c r="C996" s="3"/>
      <c r="D996" s="3"/>
      <c r="E996" s="3"/>
      <c r="F996" s="3"/>
    </row>
    <row r="997" spans="1:6" ht="15.75" customHeight="1">
      <c r="A997" s="3"/>
      <c r="B997" s="3"/>
      <c r="C997" s="3"/>
      <c r="D997" s="3"/>
      <c r="E997" s="3"/>
      <c r="F997" s="3"/>
    </row>
    <row r="998" spans="1:6" ht="15.75" customHeight="1">
      <c r="A998" s="3"/>
      <c r="B998" s="3"/>
      <c r="C998" s="3"/>
      <c r="D998" s="3"/>
      <c r="E998" s="3"/>
      <c r="F998" s="3"/>
    </row>
    <row r="999" spans="1:6" ht="15.75" customHeight="1">
      <c r="A999" s="3"/>
      <c r="B999" s="3"/>
      <c r="C999" s="3"/>
      <c r="D999" s="3"/>
      <c r="E999" s="3"/>
      <c r="F999" s="3"/>
    </row>
    <row r="1000" spans="1:6" ht="15.75" customHeight="1">
      <c r="A1000" s="3"/>
      <c r="B1000" s="3"/>
      <c r="C1000" s="3"/>
      <c r="D1000" s="3"/>
      <c r="E1000" s="3"/>
      <c r="F1000" s="3"/>
    </row>
  </sheetData>
  <mergeCells count="12">
    <mergeCell ref="A104:F104"/>
    <mergeCell ref="A105:F105"/>
    <mergeCell ref="A1:F1"/>
    <mergeCell ref="A2:F2"/>
    <mergeCell ref="A3:F3"/>
    <mergeCell ref="A92:F92"/>
    <mergeCell ref="A102:F102"/>
    <mergeCell ref="A106:F106"/>
    <mergeCell ref="A107:F107"/>
    <mergeCell ref="A108:F108"/>
    <mergeCell ref="A109:F109"/>
    <mergeCell ref="A110:F110"/>
  </mergeCells>
  <pageMargins left="0.75" right="0.75" top="1" bottom="1" header="0" footer="0"/>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000"/>
  <sheetViews>
    <sheetView workbookViewId="0">
      <pane ySplit="3" topLeftCell="A4" activePane="bottomLeft" state="frozen"/>
      <selection pane="bottomLeft" activeCell="B5" sqref="B5"/>
    </sheetView>
  </sheetViews>
  <sheetFormatPr defaultColWidth="14.42578125" defaultRowHeight="15" customHeight="1"/>
  <cols>
    <col min="1" max="1" width="86.42578125" customWidth="1"/>
    <col min="2" max="2" width="38" customWidth="1"/>
    <col min="3" max="3" width="28" customWidth="1"/>
    <col min="4" max="4" width="15.42578125" customWidth="1"/>
    <col min="5" max="5" width="14" customWidth="1"/>
    <col min="6" max="6" width="49.7109375" customWidth="1"/>
    <col min="7" max="7" width="28" customWidth="1"/>
    <col min="8" max="9" width="26" customWidth="1"/>
    <col min="10" max="12" width="8.7109375" customWidth="1"/>
    <col min="13" max="13" width="56.85546875" customWidth="1"/>
    <col min="14" max="14" width="12.7109375" customWidth="1"/>
    <col min="15" max="15" width="18" customWidth="1"/>
    <col min="16" max="20" width="8.7109375" customWidth="1"/>
    <col min="21" max="21" width="28.28515625" customWidth="1"/>
    <col min="22" max="22" width="13.7109375" customWidth="1"/>
    <col min="23" max="28" width="8.7109375" customWidth="1"/>
  </cols>
  <sheetData>
    <row r="1" spans="1:28" ht="25.5" customHeight="1">
      <c r="A1" s="376"/>
      <c r="B1" s="365"/>
      <c r="C1" s="365"/>
      <c r="D1" s="365"/>
      <c r="E1" s="365"/>
      <c r="F1" s="365"/>
      <c r="G1" s="365"/>
      <c r="H1" s="365"/>
      <c r="I1" s="365"/>
      <c r="J1" s="370"/>
      <c r="K1" t="s">
        <v>1353</v>
      </c>
    </row>
    <row r="2" spans="1:28" ht="18" customHeight="1">
      <c r="A2" s="377" t="s">
        <v>1274</v>
      </c>
      <c r="B2" s="353"/>
      <c r="C2" s="353"/>
      <c r="D2" s="353"/>
      <c r="E2" s="353"/>
      <c r="F2" s="353"/>
      <c r="G2" s="353"/>
      <c r="H2" s="353"/>
      <c r="I2" s="353"/>
      <c r="J2" s="354"/>
    </row>
    <row r="3" spans="1:28" ht="31.5" customHeight="1">
      <c r="A3" s="181" t="s">
        <v>0</v>
      </c>
      <c r="B3" s="181" t="s">
        <v>8</v>
      </c>
      <c r="C3" s="181" t="s">
        <v>1275</v>
      </c>
      <c r="D3" s="181" t="s">
        <v>1276</v>
      </c>
      <c r="E3" s="181" t="s">
        <v>1277</v>
      </c>
      <c r="F3" s="181" t="s">
        <v>1278</v>
      </c>
      <c r="G3" s="181" t="s">
        <v>1279</v>
      </c>
      <c r="H3" s="181" t="s">
        <v>1280</v>
      </c>
      <c r="I3" s="181" t="s">
        <v>1142</v>
      </c>
    </row>
    <row r="4" spans="1:28" ht="19.5" customHeight="1">
      <c r="A4" s="182">
        <v>1</v>
      </c>
      <c r="B4" s="183" t="s">
        <v>23</v>
      </c>
      <c r="C4" s="183" t="s">
        <v>25</v>
      </c>
      <c r="D4" s="182">
        <v>11</v>
      </c>
      <c r="E4" s="182">
        <v>11</v>
      </c>
      <c r="F4" s="182">
        <v>0</v>
      </c>
      <c r="G4" s="184" t="s">
        <v>1281</v>
      </c>
      <c r="H4" s="183"/>
      <c r="I4" s="185" t="s">
        <v>975</v>
      </c>
    </row>
    <row r="5" spans="1:28" ht="19.5" customHeight="1">
      <c r="A5" s="186">
        <v>2</v>
      </c>
      <c r="B5" s="187" t="s">
        <v>36</v>
      </c>
      <c r="C5" s="187" t="s">
        <v>28</v>
      </c>
      <c r="D5" s="186" t="s">
        <v>1282</v>
      </c>
      <c r="E5" s="186" t="s">
        <v>1282</v>
      </c>
      <c r="F5" s="186" t="s">
        <v>1282</v>
      </c>
      <c r="G5" s="188" t="s">
        <v>1283</v>
      </c>
      <c r="H5" s="187"/>
      <c r="I5" s="185" t="s">
        <v>975</v>
      </c>
    </row>
    <row r="6" spans="1:28" ht="19.5" customHeight="1">
      <c r="A6" s="182">
        <v>3</v>
      </c>
      <c r="B6" s="183" t="s">
        <v>44</v>
      </c>
      <c r="C6" s="183" t="s">
        <v>46</v>
      </c>
      <c r="D6" s="182">
        <v>35</v>
      </c>
      <c r="E6" s="182">
        <v>35</v>
      </c>
      <c r="F6" s="182">
        <v>0</v>
      </c>
      <c r="G6" s="184" t="s">
        <v>1281</v>
      </c>
      <c r="H6" s="183"/>
      <c r="I6" s="189" t="s">
        <v>1284</v>
      </c>
    </row>
    <row r="7" spans="1:28" ht="19.5" customHeight="1">
      <c r="A7" s="186">
        <v>4</v>
      </c>
      <c r="B7" s="187" t="s">
        <v>53</v>
      </c>
      <c r="C7" s="187" t="s">
        <v>55</v>
      </c>
      <c r="D7" s="186">
        <v>19</v>
      </c>
      <c r="E7" s="186">
        <v>19</v>
      </c>
      <c r="F7" s="186">
        <v>0</v>
      </c>
      <c r="G7" s="184" t="s">
        <v>1281</v>
      </c>
      <c r="H7" s="187"/>
      <c r="I7" s="185" t="s">
        <v>975</v>
      </c>
    </row>
    <row r="8" spans="1:28" ht="19.5" customHeight="1">
      <c r="A8" s="182">
        <v>5</v>
      </c>
      <c r="B8" s="183" t="s">
        <v>61</v>
      </c>
      <c r="C8" s="183" t="s">
        <v>63</v>
      </c>
      <c r="D8" s="182">
        <v>59</v>
      </c>
      <c r="E8" s="182">
        <v>59</v>
      </c>
      <c r="F8" s="182">
        <v>0</v>
      </c>
      <c r="G8" s="184" t="s">
        <v>1281</v>
      </c>
      <c r="H8" s="183"/>
      <c r="I8" s="185" t="s">
        <v>975</v>
      </c>
    </row>
    <row r="9" spans="1:28" ht="19.5" customHeight="1">
      <c r="A9" s="186">
        <v>6</v>
      </c>
      <c r="B9" s="187" t="s">
        <v>70</v>
      </c>
      <c r="C9" s="187" t="s">
        <v>72</v>
      </c>
      <c r="D9" s="186">
        <v>150</v>
      </c>
      <c r="E9" s="186">
        <v>0</v>
      </c>
      <c r="F9" s="186">
        <v>150</v>
      </c>
      <c r="G9" s="206" t="s">
        <v>1294</v>
      </c>
      <c r="H9" s="207" t="s">
        <v>1295</v>
      </c>
      <c r="I9" s="185" t="s">
        <v>975</v>
      </c>
    </row>
    <row r="10" spans="1:28" ht="19.5" customHeight="1">
      <c r="A10" s="182">
        <v>7</v>
      </c>
      <c r="B10" s="183" t="s">
        <v>81</v>
      </c>
      <c r="C10" s="183" t="s">
        <v>83</v>
      </c>
      <c r="D10" s="182">
        <v>101</v>
      </c>
      <c r="E10" s="182">
        <v>101</v>
      </c>
      <c r="F10" s="182">
        <v>0</v>
      </c>
      <c r="G10" s="184" t="s">
        <v>1281</v>
      </c>
      <c r="H10" s="183"/>
      <c r="I10" s="185" t="s">
        <v>975</v>
      </c>
    </row>
    <row r="11" spans="1:28" ht="19.5" customHeight="1">
      <c r="A11" s="186">
        <v>8</v>
      </c>
      <c r="B11" s="187" t="s">
        <v>92</v>
      </c>
      <c r="C11" s="187" t="s">
        <v>94</v>
      </c>
      <c r="D11" s="186">
        <v>40</v>
      </c>
      <c r="E11" s="186">
        <v>40</v>
      </c>
      <c r="F11" s="186">
        <v>0</v>
      </c>
      <c r="G11" s="184" t="s">
        <v>1281</v>
      </c>
      <c r="H11" s="187"/>
      <c r="I11" s="217" t="s">
        <v>1296</v>
      </c>
    </row>
    <row r="12" spans="1:28" ht="19.5" customHeight="1">
      <c r="A12" s="182">
        <v>9</v>
      </c>
      <c r="B12" s="183" t="s">
        <v>101</v>
      </c>
      <c r="C12" s="183" t="s">
        <v>103</v>
      </c>
      <c r="D12" s="182">
        <v>15</v>
      </c>
      <c r="E12" s="182">
        <v>15</v>
      </c>
      <c r="F12" s="182">
        <v>0</v>
      </c>
      <c r="G12" s="184" t="s">
        <v>1281</v>
      </c>
      <c r="H12" s="183"/>
      <c r="I12" s="223" t="s">
        <v>1302</v>
      </c>
    </row>
    <row r="13" spans="1:28" ht="19.5" customHeight="1">
      <c r="A13" s="186">
        <v>10</v>
      </c>
      <c r="B13" s="187" t="s">
        <v>111</v>
      </c>
      <c r="C13" s="187" t="s">
        <v>113</v>
      </c>
      <c r="D13" s="186">
        <v>67</v>
      </c>
      <c r="E13" s="186">
        <v>67</v>
      </c>
      <c r="F13" s="186">
        <v>0</v>
      </c>
      <c r="G13" s="229" t="s">
        <v>1306</v>
      </c>
      <c r="H13" s="187"/>
      <c r="I13" s="185" t="s">
        <v>975</v>
      </c>
    </row>
    <row r="14" spans="1:28" ht="19.5" customHeight="1">
      <c r="A14" s="182">
        <v>11</v>
      </c>
      <c r="B14" s="183" t="s">
        <v>122</v>
      </c>
      <c r="C14" s="183" t="s">
        <v>124</v>
      </c>
      <c r="D14" s="182">
        <v>1</v>
      </c>
      <c r="E14" s="182">
        <v>1</v>
      </c>
      <c r="F14" s="182">
        <v>0</v>
      </c>
      <c r="G14" s="184" t="s">
        <v>1281</v>
      </c>
      <c r="H14" s="183"/>
      <c r="I14" s="234" t="s">
        <v>1308</v>
      </c>
    </row>
    <row r="15" spans="1:28" ht="19.5" customHeight="1">
      <c r="A15" s="186">
        <v>12</v>
      </c>
      <c r="B15" s="187" t="s">
        <v>133</v>
      </c>
      <c r="C15" s="187" t="s">
        <v>135</v>
      </c>
      <c r="D15" s="186">
        <v>50</v>
      </c>
      <c r="E15" s="186">
        <v>50</v>
      </c>
      <c r="F15" s="186">
        <v>0</v>
      </c>
      <c r="G15" s="184" t="s">
        <v>1281</v>
      </c>
      <c r="H15" s="187"/>
      <c r="I15" s="185" t="s">
        <v>975</v>
      </c>
    </row>
    <row r="16" spans="1:28" ht="19.5" customHeight="1">
      <c r="A16" s="182">
        <v>13</v>
      </c>
      <c r="B16" s="183" t="s">
        <v>144</v>
      </c>
      <c r="C16" s="183" t="s">
        <v>146</v>
      </c>
      <c r="D16" s="182">
        <v>18</v>
      </c>
      <c r="E16" s="182">
        <v>0</v>
      </c>
      <c r="F16" s="182">
        <v>18</v>
      </c>
      <c r="G16" s="206" t="s">
        <v>1294</v>
      </c>
      <c r="H16" s="207" t="s">
        <v>1312</v>
      </c>
      <c r="I16" s="185" t="s">
        <v>975</v>
      </c>
    </row>
    <row r="17" spans="1:13" ht="19.5" customHeight="1">
      <c r="A17" s="186">
        <v>14</v>
      </c>
      <c r="B17" s="187" t="s">
        <v>154</v>
      </c>
      <c r="C17" s="187" t="s">
        <v>156</v>
      </c>
      <c r="D17" s="186">
        <v>12</v>
      </c>
      <c r="E17" s="186">
        <v>12</v>
      </c>
      <c r="F17" s="186">
        <v>0</v>
      </c>
      <c r="G17" s="184" t="s">
        <v>1281</v>
      </c>
      <c r="H17" s="187"/>
      <c r="I17" s="236" t="s">
        <v>1292</v>
      </c>
    </row>
    <row r="18" spans="1:13" ht="19.5" customHeight="1">
      <c r="A18" s="182">
        <v>15</v>
      </c>
      <c r="B18" s="183" t="s">
        <v>166</v>
      </c>
      <c r="C18" s="183" t="s">
        <v>168</v>
      </c>
      <c r="D18" s="182">
        <v>10</v>
      </c>
      <c r="E18" s="182">
        <v>10</v>
      </c>
      <c r="F18" s="182">
        <v>0</v>
      </c>
      <c r="G18" s="184" t="s">
        <v>1281</v>
      </c>
      <c r="H18" s="183"/>
      <c r="I18" s="185" t="s">
        <v>975</v>
      </c>
    </row>
    <row r="19" spans="1:13" ht="19.5" customHeight="1">
      <c r="A19" s="186">
        <v>16</v>
      </c>
      <c r="B19" s="187" t="s">
        <v>176</v>
      </c>
      <c r="C19" s="187" t="s">
        <v>178</v>
      </c>
      <c r="D19" s="186">
        <v>8</v>
      </c>
      <c r="E19" s="186">
        <v>8</v>
      </c>
      <c r="F19" s="186">
        <v>0</v>
      </c>
      <c r="G19" s="184" t="s">
        <v>1281</v>
      </c>
      <c r="H19" s="187"/>
      <c r="I19" s="236" t="s">
        <v>1292</v>
      </c>
    </row>
    <row r="20" spans="1:13" ht="19.5" customHeight="1">
      <c r="A20" s="182">
        <v>17</v>
      </c>
      <c r="B20" s="183" t="s">
        <v>187</v>
      </c>
      <c r="C20" s="183" t="s">
        <v>189</v>
      </c>
      <c r="D20" s="182">
        <v>44</v>
      </c>
      <c r="E20" s="182">
        <v>44</v>
      </c>
      <c r="F20" s="182">
        <v>0</v>
      </c>
      <c r="G20" s="184" t="s">
        <v>1281</v>
      </c>
      <c r="H20" s="183"/>
      <c r="I20" s="185" t="s">
        <v>975</v>
      </c>
    </row>
    <row r="21" spans="1:13" ht="19.5" customHeight="1">
      <c r="A21" s="186">
        <v>18</v>
      </c>
      <c r="B21" s="187" t="s">
        <v>198</v>
      </c>
      <c r="C21" s="187" t="s">
        <v>168</v>
      </c>
      <c r="D21" s="186">
        <v>10</v>
      </c>
      <c r="E21" s="186">
        <v>10</v>
      </c>
      <c r="F21" s="186">
        <v>0</v>
      </c>
      <c r="G21" s="184" t="s">
        <v>1281</v>
      </c>
      <c r="H21" s="187"/>
      <c r="I21" s="185" t="s">
        <v>975</v>
      </c>
    </row>
    <row r="22" spans="1:13" ht="19.5" customHeight="1">
      <c r="A22" s="182">
        <v>19</v>
      </c>
      <c r="B22" s="183" t="s">
        <v>208</v>
      </c>
      <c r="C22" s="183" t="s">
        <v>94</v>
      </c>
      <c r="D22" s="182">
        <v>40</v>
      </c>
      <c r="E22" s="182">
        <v>40</v>
      </c>
      <c r="F22" s="182">
        <v>0</v>
      </c>
      <c r="G22" s="184" t="s">
        <v>1281</v>
      </c>
      <c r="H22" s="183"/>
      <c r="I22" s="185" t="s">
        <v>975</v>
      </c>
    </row>
    <row r="23" spans="1:13" ht="19.5" customHeight="1">
      <c r="A23" s="186">
        <v>20</v>
      </c>
      <c r="B23" s="187" t="s">
        <v>218</v>
      </c>
      <c r="C23" s="187" t="s">
        <v>220</v>
      </c>
      <c r="D23" s="186">
        <v>54</v>
      </c>
      <c r="E23" s="186">
        <v>54</v>
      </c>
      <c r="F23" s="186">
        <v>0</v>
      </c>
      <c r="G23" s="184" t="s">
        <v>1281</v>
      </c>
      <c r="H23" s="187"/>
      <c r="I23" s="236" t="s">
        <v>1292</v>
      </c>
    </row>
    <row r="24" spans="1:13" ht="19.5" customHeight="1">
      <c r="A24" s="182">
        <v>21</v>
      </c>
      <c r="B24" s="183" t="s">
        <v>229</v>
      </c>
      <c r="C24" s="183" t="s">
        <v>168</v>
      </c>
      <c r="D24" s="182">
        <v>10</v>
      </c>
      <c r="E24" s="182">
        <v>10</v>
      </c>
      <c r="F24" s="182">
        <v>0</v>
      </c>
      <c r="G24" s="184" t="s">
        <v>1281</v>
      </c>
      <c r="H24" s="183"/>
      <c r="I24" s="185" t="s">
        <v>975</v>
      </c>
    </row>
    <row r="25" spans="1:13" ht="19.5" customHeight="1">
      <c r="A25" s="186">
        <v>22</v>
      </c>
      <c r="B25" s="187" t="s">
        <v>238</v>
      </c>
      <c r="C25" s="187" t="s">
        <v>156</v>
      </c>
      <c r="D25" s="186">
        <v>12</v>
      </c>
      <c r="E25" s="186">
        <v>12</v>
      </c>
      <c r="F25" s="186">
        <v>0</v>
      </c>
      <c r="G25" s="184" t="s">
        <v>1281</v>
      </c>
      <c r="H25" s="187"/>
      <c r="I25" s="236" t="s">
        <v>1292</v>
      </c>
    </row>
    <row r="26" spans="1:13" ht="19.5" customHeight="1">
      <c r="A26" s="182">
        <v>23</v>
      </c>
      <c r="B26" s="183" t="s">
        <v>248</v>
      </c>
      <c r="C26" s="183" t="s">
        <v>250</v>
      </c>
      <c r="D26" s="182">
        <v>70</v>
      </c>
      <c r="E26" s="182">
        <v>70</v>
      </c>
      <c r="F26" s="182">
        <v>0</v>
      </c>
      <c r="G26" s="184" t="s">
        <v>1281</v>
      </c>
      <c r="H26" s="183"/>
      <c r="I26" s="185" t="s">
        <v>975</v>
      </c>
    </row>
    <row r="27" spans="1:13" ht="19.5" customHeight="1">
      <c r="A27" s="186">
        <v>24</v>
      </c>
      <c r="B27" s="187" t="s">
        <v>258</v>
      </c>
      <c r="C27" s="187" t="s">
        <v>168</v>
      </c>
      <c r="D27" s="186">
        <v>10</v>
      </c>
      <c r="E27" s="186">
        <v>10</v>
      </c>
      <c r="F27" s="186">
        <v>0</v>
      </c>
      <c r="G27" s="184" t="s">
        <v>1281</v>
      </c>
      <c r="H27" s="187"/>
      <c r="I27" s="223" t="s">
        <v>1302</v>
      </c>
    </row>
    <row r="28" spans="1:13" ht="19.5" customHeight="1">
      <c r="A28" s="182">
        <v>25</v>
      </c>
      <c r="B28" s="183" t="s">
        <v>267</v>
      </c>
      <c r="C28" s="183" t="s">
        <v>269</v>
      </c>
      <c r="D28" s="182">
        <v>9</v>
      </c>
      <c r="E28" s="182">
        <v>0</v>
      </c>
      <c r="F28" s="182">
        <v>9</v>
      </c>
      <c r="G28" s="206" t="s">
        <v>1294</v>
      </c>
      <c r="H28" s="207" t="s">
        <v>1312</v>
      </c>
      <c r="I28" s="236" t="s">
        <v>1292</v>
      </c>
    </row>
    <row r="29" spans="1:13" ht="19.5" customHeight="1">
      <c r="A29" s="186">
        <v>26</v>
      </c>
      <c r="B29" s="187" t="s">
        <v>277</v>
      </c>
      <c r="C29" s="187" t="s">
        <v>279</v>
      </c>
      <c r="D29" s="186">
        <v>32</v>
      </c>
      <c r="E29" s="186">
        <v>32</v>
      </c>
      <c r="F29" s="186">
        <v>0</v>
      </c>
      <c r="G29" s="229" t="s">
        <v>1306</v>
      </c>
      <c r="H29" s="187"/>
      <c r="I29" s="236" t="s">
        <v>1292</v>
      </c>
    </row>
    <row r="30" spans="1:13" ht="19.5" customHeight="1">
      <c r="A30" s="182">
        <v>27</v>
      </c>
      <c r="B30" s="183" t="s">
        <v>289</v>
      </c>
      <c r="C30" s="183" t="s">
        <v>291</v>
      </c>
      <c r="D30" s="182">
        <v>120</v>
      </c>
      <c r="E30" s="182">
        <v>120</v>
      </c>
      <c r="F30" s="182">
        <v>0</v>
      </c>
      <c r="G30" s="184" t="s">
        <v>1281</v>
      </c>
      <c r="H30" s="183"/>
      <c r="I30" s="185" t="s">
        <v>975</v>
      </c>
    </row>
    <row r="31" spans="1:13" ht="19.5" customHeight="1">
      <c r="A31" s="186">
        <v>28</v>
      </c>
      <c r="B31" s="187" t="s">
        <v>301</v>
      </c>
      <c r="C31" s="187" t="s">
        <v>303</v>
      </c>
      <c r="D31" s="186">
        <v>48</v>
      </c>
      <c r="E31" s="186">
        <v>48</v>
      </c>
      <c r="F31" s="186">
        <v>0</v>
      </c>
      <c r="G31" s="184" t="s">
        <v>1281</v>
      </c>
      <c r="H31" s="187"/>
      <c r="I31" s="217" t="s">
        <v>1296</v>
      </c>
    </row>
    <row r="32" spans="1:13" ht="19.5" customHeight="1">
      <c r="A32" s="182">
        <v>29</v>
      </c>
      <c r="B32" s="183" t="s">
        <v>311</v>
      </c>
      <c r="C32" s="183" t="s">
        <v>313</v>
      </c>
      <c r="D32" s="182">
        <v>43</v>
      </c>
      <c r="E32" s="182">
        <v>22</v>
      </c>
      <c r="F32" s="182">
        <v>21</v>
      </c>
      <c r="G32" s="242" t="s">
        <v>1315</v>
      </c>
      <c r="H32" s="207" t="s">
        <v>1316</v>
      </c>
      <c r="I32" s="243" t="s">
        <v>1299</v>
      </c>
    </row>
    <row r="33" spans="1:9" ht="19.5" customHeight="1">
      <c r="A33" s="186">
        <v>30</v>
      </c>
      <c r="B33" s="187" t="s">
        <v>322</v>
      </c>
      <c r="C33" s="187" t="s">
        <v>55</v>
      </c>
      <c r="D33" s="186">
        <v>19</v>
      </c>
      <c r="E33" s="186">
        <v>19</v>
      </c>
      <c r="F33" s="186">
        <v>0</v>
      </c>
      <c r="G33" s="184" t="s">
        <v>1281</v>
      </c>
      <c r="H33" s="187"/>
      <c r="I33" s="185" t="s">
        <v>975</v>
      </c>
    </row>
    <row r="34" spans="1:9" ht="19.5" customHeight="1">
      <c r="A34" s="182">
        <v>31</v>
      </c>
      <c r="B34" s="183" t="s">
        <v>332</v>
      </c>
      <c r="C34" s="183" t="s">
        <v>334</v>
      </c>
      <c r="D34" s="182">
        <v>137</v>
      </c>
      <c r="E34" s="182">
        <v>0</v>
      </c>
      <c r="F34" s="182">
        <v>137</v>
      </c>
      <c r="G34" s="206" t="s">
        <v>1294</v>
      </c>
      <c r="H34" s="207" t="s">
        <v>1317</v>
      </c>
      <c r="I34" s="236" t="s">
        <v>1292</v>
      </c>
    </row>
    <row r="35" spans="1:9" ht="19.5" customHeight="1">
      <c r="A35" s="186">
        <v>32</v>
      </c>
      <c r="B35" s="187" t="s">
        <v>344</v>
      </c>
      <c r="C35" s="187" t="s">
        <v>346</v>
      </c>
      <c r="D35" s="186">
        <v>3</v>
      </c>
      <c r="E35" s="186">
        <v>3</v>
      </c>
      <c r="F35" s="186">
        <v>0</v>
      </c>
      <c r="G35" s="184" t="s">
        <v>1281</v>
      </c>
      <c r="H35" s="187"/>
      <c r="I35" s="185" t="s">
        <v>975</v>
      </c>
    </row>
    <row r="36" spans="1:9" ht="19.5" customHeight="1">
      <c r="A36" s="182">
        <v>33</v>
      </c>
      <c r="B36" s="183" t="s">
        <v>355</v>
      </c>
      <c r="C36" s="183" t="s">
        <v>168</v>
      </c>
      <c r="D36" s="182">
        <v>10</v>
      </c>
      <c r="E36" s="182">
        <v>10</v>
      </c>
      <c r="F36" s="182">
        <v>0</v>
      </c>
      <c r="G36" s="184" t="s">
        <v>1281</v>
      </c>
      <c r="H36" s="183"/>
      <c r="I36" s="185" t="s">
        <v>975</v>
      </c>
    </row>
    <row r="37" spans="1:9" ht="19.5" customHeight="1">
      <c r="A37" s="186">
        <v>34</v>
      </c>
      <c r="B37" s="187" t="s">
        <v>366</v>
      </c>
      <c r="C37" s="187" t="s">
        <v>346</v>
      </c>
      <c r="D37" s="186">
        <v>3</v>
      </c>
      <c r="E37" s="186">
        <v>3</v>
      </c>
      <c r="F37" s="186">
        <v>0</v>
      </c>
      <c r="G37" s="184" t="s">
        <v>1281</v>
      </c>
      <c r="H37" s="187"/>
      <c r="I37" s="217" t="s">
        <v>1296</v>
      </c>
    </row>
    <row r="38" spans="1:9" ht="19.5" customHeight="1">
      <c r="A38" s="182">
        <v>35</v>
      </c>
      <c r="B38" s="183" t="s">
        <v>375</v>
      </c>
      <c r="C38" s="183" t="s">
        <v>377</v>
      </c>
      <c r="D38" s="182">
        <v>6</v>
      </c>
      <c r="E38" s="182">
        <v>6</v>
      </c>
      <c r="F38" s="182">
        <v>0</v>
      </c>
      <c r="G38" s="184" t="s">
        <v>1281</v>
      </c>
      <c r="H38" s="183"/>
      <c r="I38" s="185" t="s">
        <v>975</v>
      </c>
    </row>
    <row r="39" spans="1:9" ht="19.5" customHeight="1">
      <c r="A39" s="186">
        <v>36</v>
      </c>
      <c r="B39" s="187" t="s">
        <v>386</v>
      </c>
      <c r="C39" s="187" t="s">
        <v>388</v>
      </c>
      <c r="D39" s="186">
        <v>20</v>
      </c>
      <c r="E39" s="186">
        <v>20</v>
      </c>
      <c r="F39" s="186">
        <v>0</v>
      </c>
      <c r="G39" s="184" t="s">
        <v>1281</v>
      </c>
      <c r="H39" s="187"/>
      <c r="I39" s="185" t="s">
        <v>975</v>
      </c>
    </row>
    <row r="40" spans="1:9" ht="19.5" customHeight="1">
      <c r="A40" s="182">
        <v>37</v>
      </c>
      <c r="B40" s="183" t="s">
        <v>396</v>
      </c>
      <c r="C40" s="183" t="s">
        <v>398</v>
      </c>
      <c r="D40" s="182">
        <v>26</v>
      </c>
      <c r="E40" s="182">
        <v>0</v>
      </c>
      <c r="F40" s="182">
        <v>26</v>
      </c>
      <c r="G40" s="206" t="s">
        <v>1294</v>
      </c>
      <c r="H40" s="207" t="s">
        <v>1307</v>
      </c>
      <c r="I40" s="185" t="s">
        <v>975</v>
      </c>
    </row>
    <row r="41" spans="1:9" ht="19.5" customHeight="1">
      <c r="A41" s="186">
        <v>38</v>
      </c>
      <c r="B41" s="187" t="s">
        <v>409</v>
      </c>
      <c r="C41" s="187" t="s">
        <v>411</v>
      </c>
      <c r="D41" s="186">
        <v>22</v>
      </c>
      <c r="E41" s="186">
        <v>22</v>
      </c>
      <c r="F41" s="186">
        <v>0</v>
      </c>
      <c r="G41" s="184" t="s">
        <v>1281</v>
      </c>
      <c r="H41" s="187"/>
      <c r="I41" s="234" t="s">
        <v>1308</v>
      </c>
    </row>
    <row r="42" spans="1:9" ht="19.5" customHeight="1">
      <c r="A42" s="182">
        <v>39</v>
      </c>
      <c r="B42" s="183" t="s">
        <v>420</v>
      </c>
      <c r="C42" s="183" t="s">
        <v>422</v>
      </c>
      <c r="D42" s="182">
        <v>13</v>
      </c>
      <c r="E42" s="182">
        <v>13</v>
      </c>
      <c r="F42" s="182">
        <v>0</v>
      </c>
      <c r="G42" s="184" t="s">
        <v>1281</v>
      </c>
      <c r="H42" s="183"/>
      <c r="I42" s="243" t="s">
        <v>1299</v>
      </c>
    </row>
    <row r="43" spans="1:9" ht="19.5" customHeight="1">
      <c r="A43" s="186">
        <v>40</v>
      </c>
      <c r="B43" s="187" t="s">
        <v>432</v>
      </c>
      <c r="C43" s="187" t="s">
        <v>189</v>
      </c>
      <c r="D43" s="186">
        <v>44</v>
      </c>
      <c r="E43" s="186">
        <v>44</v>
      </c>
      <c r="F43" s="186">
        <v>0</v>
      </c>
      <c r="G43" s="229" t="s">
        <v>1306</v>
      </c>
      <c r="H43" s="187"/>
      <c r="I43" s="185" t="s">
        <v>975</v>
      </c>
    </row>
    <row r="44" spans="1:9" ht="19.5" customHeight="1">
      <c r="A44" s="182">
        <v>41</v>
      </c>
      <c r="B44" s="183" t="s">
        <v>441</v>
      </c>
      <c r="C44" s="183" t="s">
        <v>443</v>
      </c>
      <c r="D44" s="182">
        <v>51</v>
      </c>
      <c r="E44" s="182">
        <v>51</v>
      </c>
      <c r="F44" s="182">
        <v>0</v>
      </c>
      <c r="G44" s="184" t="s">
        <v>1281</v>
      </c>
      <c r="H44" s="183"/>
      <c r="I44" s="185" t="s">
        <v>975</v>
      </c>
    </row>
    <row r="45" spans="1:9" ht="19.5" customHeight="1">
      <c r="A45" s="186">
        <v>42</v>
      </c>
      <c r="B45" s="187" t="s">
        <v>451</v>
      </c>
      <c r="C45" s="187" t="s">
        <v>453</v>
      </c>
      <c r="D45" s="186">
        <v>34</v>
      </c>
      <c r="E45" s="186">
        <v>20</v>
      </c>
      <c r="F45" s="186">
        <v>14</v>
      </c>
      <c r="G45" s="242" t="s">
        <v>1315</v>
      </c>
      <c r="H45" s="207" t="s">
        <v>1312</v>
      </c>
      <c r="I45" s="185" t="s">
        <v>975</v>
      </c>
    </row>
    <row r="46" spans="1:9" ht="19.5" customHeight="1">
      <c r="A46" s="182">
        <v>43</v>
      </c>
      <c r="B46" s="183" t="s">
        <v>461</v>
      </c>
      <c r="C46" s="183" t="s">
        <v>422</v>
      </c>
      <c r="D46" s="182">
        <v>13</v>
      </c>
      <c r="E46" s="182">
        <v>13</v>
      </c>
      <c r="F46" s="182">
        <v>0</v>
      </c>
      <c r="G46" s="184" t="s">
        <v>1281</v>
      </c>
      <c r="H46" s="183"/>
      <c r="I46" s="223" t="s">
        <v>1302</v>
      </c>
    </row>
    <row r="47" spans="1:9" ht="19.5" customHeight="1">
      <c r="A47" s="186">
        <v>44</v>
      </c>
      <c r="B47" s="187" t="s">
        <v>470</v>
      </c>
      <c r="C47" s="187" t="s">
        <v>168</v>
      </c>
      <c r="D47" s="186">
        <v>10</v>
      </c>
      <c r="E47" s="186">
        <v>10</v>
      </c>
      <c r="F47" s="186">
        <v>0</v>
      </c>
      <c r="G47" s="184" t="s">
        <v>1281</v>
      </c>
      <c r="H47" s="187"/>
      <c r="I47" s="185" t="s">
        <v>975</v>
      </c>
    </row>
    <row r="48" spans="1:9" ht="19.5" customHeight="1">
      <c r="A48" s="182">
        <v>45</v>
      </c>
      <c r="B48" s="183" t="s">
        <v>478</v>
      </c>
      <c r="C48" s="183" t="s">
        <v>346</v>
      </c>
      <c r="D48" s="182">
        <v>3</v>
      </c>
      <c r="E48" s="182">
        <v>3</v>
      </c>
      <c r="F48" s="182">
        <v>0</v>
      </c>
      <c r="G48" s="184" t="s">
        <v>1281</v>
      </c>
      <c r="H48" s="183"/>
      <c r="I48" s="185" t="s">
        <v>975</v>
      </c>
    </row>
    <row r="49" spans="1:11" ht="19.5" customHeight="1">
      <c r="A49" s="186">
        <v>46</v>
      </c>
      <c r="B49" s="187" t="s">
        <v>486</v>
      </c>
      <c r="C49" s="187" t="s">
        <v>28</v>
      </c>
      <c r="D49" s="186" t="s">
        <v>1282</v>
      </c>
      <c r="E49" s="186" t="s">
        <v>1282</v>
      </c>
      <c r="F49" s="186" t="s">
        <v>1282</v>
      </c>
      <c r="G49" s="188" t="s">
        <v>1283</v>
      </c>
      <c r="H49" s="187"/>
      <c r="I49" s="185" t="s">
        <v>975</v>
      </c>
    </row>
    <row r="50" spans="1:11" ht="19.5" customHeight="1">
      <c r="A50" s="182">
        <v>47</v>
      </c>
      <c r="B50" s="183" t="s">
        <v>494</v>
      </c>
      <c r="C50" s="183" t="s">
        <v>496</v>
      </c>
      <c r="D50" s="182">
        <v>17</v>
      </c>
      <c r="E50" s="182">
        <v>17</v>
      </c>
      <c r="F50" s="182">
        <v>0</v>
      </c>
      <c r="G50" s="184" t="s">
        <v>1281</v>
      </c>
      <c r="H50" s="183"/>
      <c r="I50" s="236" t="s">
        <v>1292</v>
      </c>
    </row>
    <row r="51" spans="1:11" ht="19.5" customHeight="1">
      <c r="A51" s="186">
        <v>48</v>
      </c>
      <c r="B51" s="187" t="s">
        <v>503</v>
      </c>
      <c r="C51" s="187" t="s">
        <v>505</v>
      </c>
      <c r="D51" s="186">
        <v>16</v>
      </c>
      <c r="E51" s="186">
        <v>16</v>
      </c>
      <c r="F51" s="186">
        <v>0</v>
      </c>
      <c r="G51" s="184" t="s">
        <v>1281</v>
      </c>
      <c r="H51" s="187"/>
      <c r="I51" s="236" t="s">
        <v>1292</v>
      </c>
    </row>
    <row r="52" spans="1:11" ht="19.5" customHeight="1">
      <c r="A52" s="182">
        <v>49</v>
      </c>
      <c r="B52" s="183" t="s">
        <v>512</v>
      </c>
      <c r="C52" s="183" t="s">
        <v>514</v>
      </c>
      <c r="D52" s="182">
        <v>21</v>
      </c>
      <c r="E52" s="182">
        <v>21</v>
      </c>
      <c r="F52" s="182">
        <v>0</v>
      </c>
      <c r="G52" s="184" t="s">
        <v>1281</v>
      </c>
      <c r="H52" s="183"/>
      <c r="I52" s="236" t="s">
        <v>1292</v>
      </c>
    </row>
    <row r="53" spans="1:11" ht="19.5" customHeight="1">
      <c r="A53" s="186">
        <v>50</v>
      </c>
      <c r="B53" s="187" t="s">
        <v>522</v>
      </c>
      <c r="C53" s="187" t="s">
        <v>103</v>
      </c>
      <c r="D53" s="186">
        <v>15</v>
      </c>
      <c r="E53" s="186">
        <v>15</v>
      </c>
      <c r="F53" s="186">
        <v>0</v>
      </c>
      <c r="G53" s="184" t="s">
        <v>1281</v>
      </c>
      <c r="H53" s="187"/>
      <c r="I53" s="243" t="s">
        <v>1299</v>
      </c>
    </row>
    <row r="54" spans="1:11" ht="19.5" customHeight="1">
      <c r="A54" s="182">
        <v>51</v>
      </c>
      <c r="B54" s="183" t="s">
        <v>530</v>
      </c>
      <c r="C54" s="183" t="s">
        <v>168</v>
      </c>
      <c r="D54" s="182">
        <v>10</v>
      </c>
      <c r="E54" s="182">
        <v>10</v>
      </c>
      <c r="F54" s="182">
        <v>0</v>
      </c>
      <c r="G54" s="184" t="s">
        <v>1281</v>
      </c>
      <c r="H54" s="183"/>
      <c r="I54" s="236" t="s">
        <v>1292</v>
      </c>
    </row>
    <row r="55" spans="1:11" ht="19.5" customHeight="1">
      <c r="A55" s="186">
        <v>52</v>
      </c>
      <c r="B55" s="187" t="s">
        <v>540</v>
      </c>
      <c r="C55" s="187" t="s">
        <v>28</v>
      </c>
      <c r="D55" s="186" t="s">
        <v>1282</v>
      </c>
      <c r="E55" s="186" t="s">
        <v>1282</v>
      </c>
      <c r="F55" s="186" t="s">
        <v>1282</v>
      </c>
      <c r="G55" s="188" t="s">
        <v>1283</v>
      </c>
      <c r="H55" s="187"/>
      <c r="I55" s="189" t="s">
        <v>1284</v>
      </c>
    </row>
    <row r="56" spans="1:11" ht="19.5" customHeight="1">
      <c r="A56" s="182">
        <v>54</v>
      </c>
      <c r="B56" s="183" t="s">
        <v>557</v>
      </c>
      <c r="C56" s="183" t="s">
        <v>559</v>
      </c>
      <c r="D56" s="182">
        <v>30</v>
      </c>
      <c r="E56" s="182">
        <v>30</v>
      </c>
      <c r="F56" s="182">
        <v>0</v>
      </c>
      <c r="G56" s="184" t="s">
        <v>1281</v>
      </c>
      <c r="H56" s="183"/>
      <c r="I56" s="185" t="s">
        <v>975</v>
      </c>
    </row>
    <row r="57" spans="1:11" ht="19.5" customHeight="1">
      <c r="A57" s="257">
        <v>57</v>
      </c>
      <c r="B57" s="258" t="s">
        <v>583</v>
      </c>
      <c r="C57" s="258" t="s">
        <v>496</v>
      </c>
      <c r="D57" s="257">
        <v>17</v>
      </c>
      <c r="E57" s="257">
        <v>17</v>
      </c>
      <c r="F57" s="257">
        <v>0</v>
      </c>
      <c r="G57" s="259" t="s">
        <v>1281</v>
      </c>
      <c r="H57" s="258"/>
      <c r="I57" s="260" t="s">
        <v>1292</v>
      </c>
    </row>
    <row r="58" spans="1:11" ht="19.5" customHeight="1">
      <c r="A58" s="182">
        <v>58</v>
      </c>
      <c r="B58" s="183" t="s">
        <v>593</v>
      </c>
      <c r="C58" s="183" t="s">
        <v>398</v>
      </c>
      <c r="D58" s="182">
        <v>26</v>
      </c>
      <c r="E58" s="182">
        <v>26</v>
      </c>
      <c r="F58" s="182">
        <v>0</v>
      </c>
      <c r="G58" s="184" t="s">
        <v>1281</v>
      </c>
      <c r="H58" s="183"/>
      <c r="I58" s="185" t="s">
        <v>975</v>
      </c>
    </row>
    <row r="59" spans="1:11" ht="19.5" customHeight="1">
      <c r="A59" s="186">
        <v>59</v>
      </c>
      <c r="B59" s="187" t="s">
        <v>603</v>
      </c>
      <c r="C59" s="187" t="s">
        <v>103</v>
      </c>
      <c r="D59" s="186">
        <v>15</v>
      </c>
      <c r="E59" s="186">
        <v>8</v>
      </c>
      <c r="F59" s="186">
        <v>7</v>
      </c>
      <c r="G59" s="242" t="s">
        <v>1315</v>
      </c>
      <c r="H59" s="207" t="s">
        <v>1318</v>
      </c>
      <c r="I59" s="236" t="s">
        <v>1292</v>
      </c>
    </row>
    <row r="60" spans="1:11" ht="19.5" customHeight="1">
      <c r="A60" s="182">
        <v>60</v>
      </c>
      <c r="B60" s="183" t="s">
        <v>603</v>
      </c>
      <c r="C60" s="183" t="s">
        <v>269</v>
      </c>
      <c r="D60" s="182">
        <v>9</v>
      </c>
      <c r="E60" s="182">
        <v>7</v>
      </c>
      <c r="F60" s="182">
        <v>2</v>
      </c>
      <c r="G60" s="242" t="s">
        <v>1315</v>
      </c>
      <c r="H60" s="207" t="s">
        <v>1319</v>
      </c>
      <c r="I60" s="223" t="s">
        <v>1302</v>
      </c>
    </row>
    <row r="61" spans="1:11" ht="19.5" customHeight="1">
      <c r="A61" s="186">
        <v>62</v>
      </c>
      <c r="B61" s="187" t="s">
        <v>631</v>
      </c>
      <c r="C61" s="187" t="s">
        <v>633</v>
      </c>
      <c r="D61" s="186">
        <v>25</v>
      </c>
      <c r="E61" s="186">
        <v>25</v>
      </c>
      <c r="F61" s="186">
        <v>0</v>
      </c>
      <c r="G61" s="184" t="s">
        <v>1281</v>
      </c>
      <c r="H61" s="187"/>
      <c r="I61" s="185" t="s">
        <v>975</v>
      </c>
    </row>
    <row r="62" spans="1:11" ht="19.5" customHeight="1">
      <c r="A62" s="182">
        <v>63</v>
      </c>
      <c r="B62" s="183" t="s">
        <v>603</v>
      </c>
      <c r="C62" s="183" t="s">
        <v>643</v>
      </c>
      <c r="D62" s="182">
        <v>24</v>
      </c>
      <c r="E62" s="182">
        <v>24</v>
      </c>
      <c r="F62" s="182">
        <v>0</v>
      </c>
      <c r="G62" s="184" t="s">
        <v>1281</v>
      </c>
      <c r="H62" s="183"/>
      <c r="I62" s="185" t="s">
        <v>975</v>
      </c>
    </row>
    <row r="63" spans="1:11" ht="19.5" customHeight="1">
      <c r="A63" s="257">
        <v>64</v>
      </c>
      <c r="B63" s="258" t="s">
        <v>652</v>
      </c>
      <c r="C63" s="258" t="s">
        <v>505</v>
      </c>
      <c r="D63" s="257">
        <v>16</v>
      </c>
      <c r="E63" s="257">
        <v>16</v>
      </c>
      <c r="F63" s="257">
        <v>0</v>
      </c>
      <c r="G63" s="259" t="s">
        <v>1281</v>
      </c>
      <c r="H63" s="258"/>
      <c r="I63" s="260" t="s">
        <v>1292</v>
      </c>
    </row>
    <row r="64" spans="1:11" ht="19.5" customHeight="1">
      <c r="A64" s="182">
        <v>68</v>
      </c>
      <c r="B64" s="183" t="s">
        <v>685</v>
      </c>
      <c r="C64" s="183" t="s">
        <v>687</v>
      </c>
      <c r="D64" s="182">
        <v>20</v>
      </c>
      <c r="E64" s="182">
        <v>20</v>
      </c>
      <c r="F64" s="182">
        <v>0</v>
      </c>
      <c r="G64" s="184" t="s">
        <v>1281</v>
      </c>
      <c r="H64" s="183"/>
      <c r="I64" s="217" t="s">
        <v>1296</v>
      </c>
    </row>
    <row r="65" spans="1:9" ht="19.5" customHeight="1">
      <c r="A65" s="186">
        <v>69</v>
      </c>
      <c r="B65" s="187" t="s">
        <v>696</v>
      </c>
      <c r="C65" s="187" t="s">
        <v>698</v>
      </c>
      <c r="D65" s="186">
        <v>28</v>
      </c>
      <c r="E65" s="186">
        <v>14</v>
      </c>
      <c r="F65" s="186">
        <v>14</v>
      </c>
      <c r="G65" s="242" t="s">
        <v>1315</v>
      </c>
      <c r="H65" s="207" t="s">
        <v>1320</v>
      </c>
      <c r="I65" s="243" t="s">
        <v>1299</v>
      </c>
    </row>
    <row r="66" spans="1:9" ht="19.5" customHeight="1">
      <c r="A66" s="182">
        <v>70</v>
      </c>
      <c r="B66" s="183" t="s">
        <v>705</v>
      </c>
      <c r="C66" s="183" t="s">
        <v>388</v>
      </c>
      <c r="D66" s="182">
        <v>20</v>
      </c>
      <c r="E66" s="182">
        <v>20</v>
      </c>
      <c r="F66" s="182">
        <v>0</v>
      </c>
      <c r="G66" s="184" t="s">
        <v>1281</v>
      </c>
      <c r="H66" s="183"/>
      <c r="I66" s="185" t="s">
        <v>975</v>
      </c>
    </row>
    <row r="67" spans="1:9" ht="19.5" customHeight="1">
      <c r="A67" s="186">
        <v>71</v>
      </c>
      <c r="B67" s="187" t="s">
        <v>716</v>
      </c>
      <c r="C67" s="187" t="s">
        <v>103</v>
      </c>
      <c r="D67" s="186">
        <v>15</v>
      </c>
      <c r="E67" s="186">
        <v>15</v>
      </c>
      <c r="F67" s="186">
        <v>0</v>
      </c>
      <c r="G67" s="184" t="s">
        <v>1281</v>
      </c>
      <c r="H67" s="187"/>
      <c r="I67" s="236" t="s">
        <v>1292</v>
      </c>
    </row>
    <row r="68" spans="1:9" ht="19.5" customHeight="1">
      <c r="A68" s="182">
        <v>72</v>
      </c>
      <c r="B68" s="183" t="s">
        <v>727</v>
      </c>
      <c r="C68" s="183" t="s">
        <v>94</v>
      </c>
      <c r="D68" s="182">
        <v>40</v>
      </c>
      <c r="E68" s="182">
        <v>40</v>
      </c>
      <c r="F68" s="182">
        <v>0</v>
      </c>
      <c r="G68" s="184" t="s">
        <v>1281</v>
      </c>
      <c r="H68" s="183"/>
      <c r="I68" s="234" t="s">
        <v>1308</v>
      </c>
    </row>
    <row r="69" spans="1:9" ht="19.5" customHeight="1">
      <c r="A69" s="186">
        <v>73</v>
      </c>
      <c r="B69" s="187" t="s">
        <v>738</v>
      </c>
      <c r="C69" s="187" t="s">
        <v>388</v>
      </c>
      <c r="D69" s="186">
        <v>20</v>
      </c>
      <c r="E69" s="186">
        <v>20</v>
      </c>
      <c r="F69" s="186">
        <v>0</v>
      </c>
      <c r="G69" s="184" t="s">
        <v>1281</v>
      </c>
      <c r="H69" s="187"/>
      <c r="I69" s="185" t="s">
        <v>975</v>
      </c>
    </row>
    <row r="70" spans="1:9" ht="19.5" customHeight="1">
      <c r="A70" s="182">
        <v>75</v>
      </c>
      <c r="B70" s="183" t="s">
        <v>755</v>
      </c>
      <c r="C70" s="183" t="s">
        <v>757</v>
      </c>
      <c r="D70" s="182">
        <v>167</v>
      </c>
      <c r="E70" s="182">
        <v>100</v>
      </c>
      <c r="F70" s="182">
        <v>67</v>
      </c>
      <c r="G70" s="242" t="s">
        <v>1315</v>
      </c>
      <c r="H70" s="207" t="s">
        <v>1301</v>
      </c>
      <c r="I70" s="185" t="s">
        <v>975</v>
      </c>
    </row>
    <row r="71" spans="1:9" ht="19.5" customHeight="1">
      <c r="A71" s="186">
        <v>78</v>
      </c>
      <c r="B71" s="187" t="s">
        <v>779</v>
      </c>
      <c r="C71" s="187" t="s">
        <v>422</v>
      </c>
      <c r="D71" s="186">
        <v>13</v>
      </c>
      <c r="E71" s="186">
        <v>13</v>
      </c>
      <c r="F71" s="186">
        <v>0</v>
      </c>
      <c r="G71" s="184" t="s">
        <v>1281</v>
      </c>
      <c r="H71" s="187"/>
      <c r="I71" s="185" t="s">
        <v>975</v>
      </c>
    </row>
    <row r="72" spans="1:9" ht="19.5" customHeight="1">
      <c r="A72" s="182">
        <v>79</v>
      </c>
      <c r="B72" s="183" t="s">
        <v>603</v>
      </c>
      <c r="C72" s="183" t="s">
        <v>94</v>
      </c>
      <c r="D72" s="182">
        <v>40</v>
      </c>
      <c r="E72" s="182">
        <v>40</v>
      </c>
      <c r="F72" s="182">
        <v>0</v>
      </c>
      <c r="G72" s="184" t="s">
        <v>1281</v>
      </c>
      <c r="H72" s="183"/>
      <c r="I72" s="236" t="s">
        <v>1292</v>
      </c>
    </row>
    <row r="73" spans="1:9" ht="19.5" customHeight="1">
      <c r="A73" s="186">
        <v>81</v>
      </c>
      <c r="B73" s="187" t="s">
        <v>805</v>
      </c>
      <c r="C73" s="187" t="s">
        <v>807</v>
      </c>
      <c r="D73" s="186">
        <v>1798</v>
      </c>
      <c r="E73" s="186">
        <v>900</v>
      </c>
      <c r="F73" s="186">
        <v>898</v>
      </c>
      <c r="G73" s="242" t="s">
        <v>1315</v>
      </c>
      <c r="H73" s="207" t="s">
        <v>1321</v>
      </c>
      <c r="I73" s="185" t="s">
        <v>975</v>
      </c>
    </row>
    <row r="74" spans="1:9" ht="19.5" customHeight="1">
      <c r="A74" s="182">
        <v>82</v>
      </c>
      <c r="B74" s="183" t="s">
        <v>815</v>
      </c>
      <c r="C74" s="183" t="s">
        <v>505</v>
      </c>
      <c r="D74" s="182">
        <v>16</v>
      </c>
      <c r="E74" s="182">
        <v>16</v>
      </c>
      <c r="F74" s="182">
        <v>0</v>
      </c>
      <c r="G74" s="184" t="s">
        <v>1281</v>
      </c>
      <c r="H74" s="183"/>
      <c r="I74" s="185" t="s">
        <v>975</v>
      </c>
    </row>
    <row r="75" spans="1:9" ht="19.5" customHeight="1">
      <c r="A75" s="186">
        <v>83</v>
      </c>
      <c r="B75" s="187" t="s">
        <v>603</v>
      </c>
      <c r="C75" s="187" t="s">
        <v>28</v>
      </c>
      <c r="D75" s="186" t="s">
        <v>1282</v>
      </c>
      <c r="E75" s="186" t="s">
        <v>1282</v>
      </c>
      <c r="F75" s="186" t="s">
        <v>1282</v>
      </c>
      <c r="G75" s="188" t="s">
        <v>1283</v>
      </c>
      <c r="H75" s="187"/>
      <c r="I75" s="185" t="s">
        <v>975</v>
      </c>
    </row>
    <row r="76" spans="1:9" ht="19.5" customHeight="1">
      <c r="A76" s="182">
        <v>84</v>
      </c>
      <c r="B76" s="183" t="s">
        <v>830</v>
      </c>
      <c r="C76" s="183" t="s">
        <v>168</v>
      </c>
      <c r="D76" s="182">
        <v>10</v>
      </c>
      <c r="E76" s="182">
        <v>10</v>
      </c>
      <c r="F76" s="182">
        <v>0</v>
      </c>
      <c r="G76" s="184" t="s">
        <v>1281</v>
      </c>
      <c r="H76" s="183"/>
      <c r="I76" s="185" t="s">
        <v>975</v>
      </c>
    </row>
    <row r="77" spans="1:9" ht="19.5" customHeight="1">
      <c r="A77" s="186">
        <v>86</v>
      </c>
      <c r="B77" s="187" t="s">
        <v>603</v>
      </c>
      <c r="C77" s="187" t="s">
        <v>844</v>
      </c>
      <c r="D77" s="186">
        <v>2</v>
      </c>
      <c r="E77" s="186">
        <v>0</v>
      </c>
      <c r="F77" s="186">
        <v>2</v>
      </c>
      <c r="G77" s="206" t="s">
        <v>1294</v>
      </c>
      <c r="H77" s="207" t="s">
        <v>1322</v>
      </c>
      <c r="I77" s="243" t="s">
        <v>1299</v>
      </c>
    </row>
    <row r="78" spans="1:9" ht="19.5" customHeight="1">
      <c r="A78" s="182">
        <v>87</v>
      </c>
      <c r="B78" s="183" t="s">
        <v>603</v>
      </c>
      <c r="C78" s="183" t="s">
        <v>559</v>
      </c>
      <c r="D78" s="182">
        <v>30</v>
      </c>
      <c r="E78" s="182">
        <v>30</v>
      </c>
      <c r="F78" s="182">
        <v>0</v>
      </c>
      <c r="G78" s="184" t="s">
        <v>1281</v>
      </c>
      <c r="H78" s="183"/>
      <c r="I78" s="189" t="s">
        <v>1284</v>
      </c>
    </row>
    <row r="79" spans="1:9" ht="19.5" customHeight="1">
      <c r="A79" s="186">
        <v>88</v>
      </c>
      <c r="B79" s="187" t="s">
        <v>603</v>
      </c>
      <c r="C79" s="187" t="s">
        <v>146</v>
      </c>
      <c r="D79" s="186">
        <v>18</v>
      </c>
      <c r="E79" s="186">
        <v>18</v>
      </c>
      <c r="F79" s="186">
        <v>0</v>
      </c>
      <c r="G79" s="184" t="s">
        <v>1281</v>
      </c>
      <c r="H79" s="187"/>
      <c r="I79" s="243" t="s">
        <v>1299</v>
      </c>
    </row>
    <row r="80" spans="1:9" ht="19.5" customHeight="1">
      <c r="A80" s="182"/>
      <c r="B80" s="183" t="s">
        <v>871</v>
      </c>
      <c r="C80" s="183" t="s">
        <v>873</v>
      </c>
      <c r="D80" s="182">
        <v>1</v>
      </c>
      <c r="E80" s="182">
        <v>1</v>
      </c>
      <c r="F80" s="182">
        <v>0</v>
      </c>
      <c r="G80" s="184" t="s">
        <v>1281</v>
      </c>
      <c r="H80" s="183"/>
      <c r="I80" s="223" t="s">
        <v>1302</v>
      </c>
    </row>
    <row r="81" spans="1:11" ht="19.5" customHeight="1">
      <c r="A81" s="186"/>
      <c r="B81" s="187" t="s">
        <v>880</v>
      </c>
      <c r="C81" s="187" t="s">
        <v>514</v>
      </c>
      <c r="D81" s="186">
        <v>21</v>
      </c>
      <c r="E81" s="186">
        <v>21</v>
      </c>
      <c r="F81" s="186">
        <v>0</v>
      </c>
      <c r="G81" s="184" t="s">
        <v>1281</v>
      </c>
      <c r="H81" s="187"/>
      <c r="I81" s="217" t="s">
        <v>1296</v>
      </c>
    </row>
    <row r="82" spans="1:11" ht="19.5" customHeight="1">
      <c r="A82" s="262"/>
      <c r="B82" s="263" t="s">
        <v>892</v>
      </c>
      <c r="C82" s="263" t="s">
        <v>398</v>
      </c>
      <c r="D82" s="262">
        <v>26</v>
      </c>
      <c r="E82" s="262">
        <v>26</v>
      </c>
      <c r="F82" s="262">
        <v>0</v>
      </c>
      <c r="G82" s="259" t="s">
        <v>1281</v>
      </c>
      <c r="H82" s="263"/>
      <c r="I82" s="264" t="s">
        <v>975</v>
      </c>
    </row>
    <row r="83" spans="1:11" ht="19.5" customHeight="1">
      <c r="A83" s="186"/>
      <c r="B83" s="187" t="s">
        <v>899</v>
      </c>
      <c r="C83" s="187" t="s">
        <v>505</v>
      </c>
      <c r="D83" s="186">
        <v>16</v>
      </c>
      <c r="E83" s="186">
        <v>16</v>
      </c>
      <c r="F83" s="186">
        <v>0</v>
      </c>
      <c r="G83" s="184" t="s">
        <v>1281</v>
      </c>
      <c r="H83" s="187"/>
      <c r="I83" s="236" t="s">
        <v>1292</v>
      </c>
    </row>
    <row r="84" spans="1:11" ht="19.5" customHeight="1">
      <c r="A84" s="262"/>
      <c r="B84" s="263" t="s">
        <v>906</v>
      </c>
      <c r="C84" s="263" t="s">
        <v>505</v>
      </c>
      <c r="D84" s="262">
        <v>16</v>
      </c>
      <c r="E84" s="262">
        <v>16</v>
      </c>
      <c r="F84" s="262">
        <v>0</v>
      </c>
      <c r="G84" s="259" t="s">
        <v>1281</v>
      </c>
      <c r="H84" s="263"/>
      <c r="I84" s="260" t="s">
        <v>1292</v>
      </c>
    </row>
    <row r="85" spans="1:11" ht="19.5" customHeight="1">
      <c r="A85" s="186"/>
      <c r="B85" s="187" t="s">
        <v>913</v>
      </c>
      <c r="C85" s="187" t="s">
        <v>915</v>
      </c>
      <c r="D85" s="186">
        <v>166</v>
      </c>
      <c r="E85" s="186">
        <v>166</v>
      </c>
      <c r="F85" s="186">
        <v>0</v>
      </c>
      <c r="G85" s="184" t="s">
        <v>1281</v>
      </c>
      <c r="H85" s="187"/>
      <c r="I85" s="185" t="s">
        <v>975</v>
      </c>
    </row>
    <row r="86" spans="1:11" ht="19.5" customHeight="1">
      <c r="A86" s="182"/>
      <c r="B86" s="183" t="s">
        <v>923</v>
      </c>
      <c r="C86" s="183" t="s">
        <v>505</v>
      </c>
      <c r="D86" s="182">
        <v>16</v>
      </c>
      <c r="E86" s="182">
        <v>16</v>
      </c>
      <c r="F86" s="182">
        <v>0</v>
      </c>
      <c r="G86" s="184" t="s">
        <v>1281</v>
      </c>
      <c r="H86" s="183"/>
      <c r="I86" s="236" t="s">
        <v>1292</v>
      </c>
    </row>
    <row r="87" spans="1:11" ht="19.5" customHeight="1">
      <c r="A87" s="186"/>
      <c r="B87" s="187" t="s">
        <v>932</v>
      </c>
      <c r="C87" s="187" t="s">
        <v>168</v>
      </c>
      <c r="D87" s="186">
        <v>10</v>
      </c>
      <c r="E87" s="186">
        <v>10</v>
      </c>
      <c r="F87" s="186">
        <v>0</v>
      </c>
      <c r="G87" s="184" t="s">
        <v>1281</v>
      </c>
      <c r="H87" s="187"/>
      <c r="I87" s="189" t="s">
        <v>1284</v>
      </c>
    </row>
    <row r="88" spans="1:11" ht="19.5" customHeight="1">
      <c r="A88" s="182"/>
      <c r="B88" s="183" t="s">
        <v>941</v>
      </c>
      <c r="C88" s="183" t="s">
        <v>220</v>
      </c>
      <c r="D88" s="182">
        <v>54</v>
      </c>
      <c r="E88" s="182">
        <v>54</v>
      </c>
      <c r="F88" s="182">
        <v>0</v>
      </c>
      <c r="G88" s="229" t="s">
        <v>1306</v>
      </c>
      <c r="H88" s="183"/>
      <c r="I88" s="185" t="s">
        <v>975</v>
      </c>
    </row>
    <row r="89" spans="1:11" ht="15.75" customHeight="1"/>
    <row r="90" spans="1:11" ht="19.5" customHeight="1">
      <c r="A90" s="374" t="s">
        <v>1482</v>
      </c>
      <c r="B90" s="365"/>
      <c r="C90" s="365"/>
      <c r="D90" s="365"/>
      <c r="E90" s="365"/>
      <c r="F90" s="365"/>
      <c r="G90" s="365"/>
      <c r="H90" s="365"/>
      <c r="I90" s="370"/>
    </row>
    <row r="91" spans="1:11" ht="21.75" customHeight="1">
      <c r="A91" s="378" t="s">
        <v>1323</v>
      </c>
      <c r="B91" s="370"/>
      <c r="C91" s="192" t="s">
        <v>1143</v>
      </c>
      <c r="D91" s="192" t="s">
        <v>1324</v>
      </c>
      <c r="E91" s="192" t="s">
        <v>1325</v>
      </c>
      <c r="F91" s="378" t="s">
        <v>1326</v>
      </c>
      <c r="G91" s="365"/>
      <c r="H91" s="365"/>
      <c r="I91" s="370"/>
    </row>
    <row r="92" spans="1:11" ht="18" customHeight="1">
      <c r="A92" s="379" t="s">
        <v>1327</v>
      </c>
      <c r="B92" s="380"/>
      <c r="C92" s="297">
        <v>60</v>
      </c>
      <c r="D92" s="297">
        <v>1608</v>
      </c>
      <c r="E92" s="340" t="s">
        <v>1498</v>
      </c>
      <c r="F92" s="244" t="s">
        <v>1328</v>
      </c>
    </row>
    <row r="93" spans="1:11" ht="18" customHeight="1">
      <c r="A93" s="381" t="s">
        <v>1329</v>
      </c>
      <c r="B93" s="380"/>
      <c r="C93" s="298">
        <v>4</v>
      </c>
      <c r="D93" s="298">
        <v>197</v>
      </c>
      <c r="E93" s="341" t="s">
        <v>1499</v>
      </c>
      <c r="F93" s="245" t="s">
        <v>1269</v>
      </c>
    </row>
    <row r="94" spans="1:11" ht="18" customHeight="1">
      <c r="A94" s="384" t="s">
        <v>1330</v>
      </c>
      <c r="B94" s="380"/>
      <c r="C94" s="299">
        <v>6</v>
      </c>
      <c r="D94" s="299">
        <v>342</v>
      </c>
      <c r="E94" s="342" t="s">
        <v>1500</v>
      </c>
      <c r="F94" s="246" t="s">
        <v>1267</v>
      </c>
    </row>
    <row r="95" spans="1:11" ht="18" customHeight="1">
      <c r="A95" s="385" t="s">
        <v>1331</v>
      </c>
      <c r="B95" s="380"/>
      <c r="C95" s="300">
        <v>6</v>
      </c>
      <c r="D95" s="300">
        <v>296</v>
      </c>
      <c r="E95" s="343" t="s">
        <v>1501</v>
      </c>
      <c r="F95" s="386"/>
      <c r="G95" s="365"/>
      <c r="H95" s="365"/>
      <c r="I95" s="370"/>
    </row>
    <row r="96" spans="1:11" ht="18" customHeight="1">
      <c r="A96" s="387" t="s">
        <v>1483</v>
      </c>
      <c r="B96" s="380"/>
      <c r="C96" s="291">
        <v>76</v>
      </c>
      <c r="D96" s="291">
        <v>2443</v>
      </c>
      <c r="E96" s="339" t="s">
        <v>1492</v>
      </c>
    </row>
    <row r="97" spans="1:9" ht="15.75" customHeight="1"/>
    <row r="98" spans="1:9" ht="19.5" customHeight="1">
      <c r="A98" s="374" t="s">
        <v>1332</v>
      </c>
      <c r="B98" s="365"/>
      <c r="C98" s="365"/>
      <c r="D98" s="365"/>
      <c r="E98" s="365"/>
      <c r="F98" s="365"/>
      <c r="G98" s="365"/>
      <c r="H98" s="365"/>
      <c r="I98" s="370"/>
    </row>
    <row r="99" spans="1:9" ht="21.75" customHeight="1">
      <c r="A99" s="192" t="s">
        <v>1333</v>
      </c>
      <c r="B99" s="192" t="s">
        <v>10</v>
      </c>
      <c r="C99" s="192" t="s">
        <v>1325</v>
      </c>
      <c r="D99" s="192" t="s">
        <v>1334</v>
      </c>
      <c r="E99" s="192" t="s">
        <v>1265</v>
      </c>
    </row>
    <row r="100" spans="1:9" ht="18" customHeight="1">
      <c r="A100" s="247" t="s">
        <v>1295</v>
      </c>
      <c r="B100" s="246">
        <v>150</v>
      </c>
      <c r="C100" s="344" t="s">
        <v>1502</v>
      </c>
      <c r="D100" s="246" t="s">
        <v>1335</v>
      </c>
      <c r="E100" s="246" t="s">
        <v>1336</v>
      </c>
    </row>
    <row r="101" spans="1:9" ht="18" customHeight="1">
      <c r="A101" s="248" t="s">
        <v>1317</v>
      </c>
      <c r="B101" s="249">
        <v>137</v>
      </c>
      <c r="C101" s="345" t="s">
        <v>1342</v>
      </c>
      <c r="D101" s="249" t="s">
        <v>1337</v>
      </c>
      <c r="E101" s="249" t="s">
        <v>1268</v>
      </c>
    </row>
    <row r="102" spans="1:9" ht="18" customHeight="1">
      <c r="A102" s="247" t="s">
        <v>1301</v>
      </c>
      <c r="B102" s="246">
        <v>67</v>
      </c>
      <c r="C102" s="344" t="s">
        <v>1503</v>
      </c>
      <c r="D102" s="246" t="s">
        <v>1338</v>
      </c>
      <c r="E102" s="246" t="s">
        <v>1339</v>
      </c>
    </row>
    <row r="103" spans="1:9" ht="18" customHeight="1">
      <c r="A103" s="248" t="s">
        <v>1312</v>
      </c>
      <c r="B103" s="249">
        <v>41</v>
      </c>
      <c r="C103" s="345" t="s">
        <v>1504</v>
      </c>
      <c r="D103" s="249" t="s">
        <v>1340</v>
      </c>
      <c r="E103" s="249" t="s">
        <v>1341</v>
      </c>
    </row>
    <row r="104" spans="1:9" ht="18" customHeight="1">
      <c r="A104" s="247" t="s">
        <v>1307</v>
      </c>
      <c r="B104" s="246">
        <v>26</v>
      </c>
      <c r="C104" s="344" t="s">
        <v>1505</v>
      </c>
      <c r="D104" s="246" t="s">
        <v>1342</v>
      </c>
      <c r="E104" s="246" t="s">
        <v>1341</v>
      </c>
    </row>
    <row r="105" spans="1:9" ht="18" customHeight="1">
      <c r="A105" s="248" t="s">
        <v>1316</v>
      </c>
      <c r="B105" s="249">
        <v>21</v>
      </c>
      <c r="C105" s="345" t="s">
        <v>1506</v>
      </c>
      <c r="D105" s="249" t="s">
        <v>1343</v>
      </c>
      <c r="E105" s="249" t="s">
        <v>1341</v>
      </c>
    </row>
    <row r="106" spans="1:9" ht="18" customHeight="1">
      <c r="A106" s="247" t="s">
        <v>1320</v>
      </c>
      <c r="B106" s="246">
        <v>14</v>
      </c>
      <c r="C106" s="344" t="s">
        <v>1507</v>
      </c>
      <c r="D106" s="246" t="s">
        <v>1344</v>
      </c>
      <c r="E106" s="246" t="s">
        <v>1341</v>
      </c>
    </row>
    <row r="107" spans="1:9" ht="18" customHeight="1">
      <c r="A107" s="248" t="s">
        <v>1318</v>
      </c>
      <c r="B107" s="249">
        <v>7</v>
      </c>
      <c r="C107" s="345" t="s">
        <v>1508</v>
      </c>
      <c r="D107" s="249" t="s">
        <v>1345</v>
      </c>
      <c r="E107" s="249" t="s">
        <v>1341</v>
      </c>
    </row>
    <row r="108" spans="1:9" ht="18" customHeight="1">
      <c r="A108" s="247" t="s">
        <v>1319</v>
      </c>
      <c r="B108" s="246">
        <v>2</v>
      </c>
      <c r="C108" s="344" t="s">
        <v>1509</v>
      </c>
      <c r="D108" s="246" t="s">
        <v>1346</v>
      </c>
      <c r="E108" s="246" t="s">
        <v>1341</v>
      </c>
    </row>
    <row r="109" spans="1:9" ht="18" customHeight="1">
      <c r="A109" s="248" t="s">
        <v>1322</v>
      </c>
      <c r="B109" s="249">
        <v>2</v>
      </c>
      <c r="C109" s="345" t="s">
        <v>1509</v>
      </c>
      <c r="D109" s="249" t="s">
        <v>1346</v>
      </c>
      <c r="E109" s="249" t="s">
        <v>1341</v>
      </c>
    </row>
    <row r="110" spans="1:9" ht="15.75" customHeight="1"/>
    <row r="111" spans="1:9" ht="15.75" customHeight="1"/>
    <row r="112" spans="1:9" ht="19.5" customHeight="1">
      <c r="A112" s="374" t="s">
        <v>1485</v>
      </c>
      <c r="B112" s="365"/>
      <c r="C112" s="365"/>
      <c r="D112" s="365"/>
      <c r="E112" s="365"/>
      <c r="F112" s="365"/>
      <c r="G112" s="365"/>
      <c r="H112" s="365"/>
      <c r="I112" s="370"/>
    </row>
    <row r="113" spans="1:9" ht="21.75" customHeight="1">
      <c r="A113" s="192" t="s">
        <v>1142</v>
      </c>
      <c r="B113" s="192" t="s">
        <v>1143</v>
      </c>
      <c r="C113" s="192" t="s">
        <v>1288</v>
      </c>
      <c r="D113" s="192" t="s">
        <v>1287</v>
      </c>
      <c r="E113" s="192" t="s">
        <v>1347</v>
      </c>
      <c r="F113" s="192" t="s">
        <v>1348</v>
      </c>
      <c r="G113" s="192" t="s">
        <v>1349</v>
      </c>
      <c r="H113" s="279" t="s">
        <v>1484</v>
      </c>
    </row>
    <row r="114" spans="1:9" ht="18" customHeight="1">
      <c r="A114" s="301" t="s">
        <v>975</v>
      </c>
      <c r="B114" s="302">
        <v>38</v>
      </c>
      <c r="C114" s="302">
        <v>1576</v>
      </c>
      <c r="D114" s="303">
        <v>41.5</v>
      </c>
      <c r="E114" s="302">
        <v>3</v>
      </c>
      <c r="F114" s="302">
        <v>167</v>
      </c>
      <c r="G114" s="302" t="s">
        <v>1350</v>
      </c>
      <c r="H114" s="280">
        <v>24.5</v>
      </c>
    </row>
    <row r="115" spans="1:9" ht="18" customHeight="1">
      <c r="A115" s="304" t="s">
        <v>1292</v>
      </c>
      <c r="B115" s="305">
        <v>16</v>
      </c>
      <c r="C115" s="305">
        <v>430</v>
      </c>
      <c r="D115" s="306">
        <v>26.9</v>
      </c>
      <c r="E115" s="305">
        <v>8</v>
      </c>
      <c r="F115" s="305">
        <v>137</v>
      </c>
      <c r="G115" s="305" t="s">
        <v>1268</v>
      </c>
      <c r="H115" s="280">
        <v>16</v>
      </c>
    </row>
    <row r="116" spans="1:9" ht="18" customHeight="1">
      <c r="A116" s="307" t="s">
        <v>1296</v>
      </c>
      <c r="B116" s="308">
        <v>5</v>
      </c>
      <c r="C116" s="308">
        <v>132</v>
      </c>
      <c r="D116" s="309">
        <v>26.4</v>
      </c>
      <c r="E116" s="308">
        <v>3</v>
      </c>
      <c r="F116" s="308">
        <v>48</v>
      </c>
      <c r="G116" s="308" t="s">
        <v>1268</v>
      </c>
      <c r="H116" s="280">
        <v>21</v>
      </c>
    </row>
    <row r="117" spans="1:9" ht="18" customHeight="1">
      <c r="A117" s="310" t="s">
        <v>1299</v>
      </c>
      <c r="B117" s="311">
        <v>6</v>
      </c>
      <c r="C117" s="311">
        <v>119</v>
      </c>
      <c r="D117" s="312">
        <v>19.8</v>
      </c>
      <c r="E117" s="311">
        <v>2</v>
      </c>
      <c r="F117" s="311">
        <v>43</v>
      </c>
      <c r="G117" s="311" t="s">
        <v>1269</v>
      </c>
      <c r="H117" s="280">
        <v>16.5</v>
      </c>
    </row>
    <row r="118" spans="1:9" ht="18" customHeight="1">
      <c r="A118" s="313" t="s">
        <v>1302</v>
      </c>
      <c r="B118" s="314">
        <v>5</v>
      </c>
      <c r="C118" s="314">
        <v>48</v>
      </c>
      <c r="D118" s="315">
        <v>9.6</v>
      </c>
      <c r="E118" s="314">
        <v>1</v>
      </c>
      <c r="F118" s="314">
        <v>15</v>
      </c>
      <c r="G118" s="314" t="s">
        <v>1341</v>
      </c>
      <c r="H118" s="280">
        <v>10</v>
      </c>
    </row>
    <row r="119" spans="1:9" ht="18" customHeight="1">
      <c r="A119" s="316" t="s">
        <v>1284</v>
      </c>
      <c r="B119" s="317">
        <v>3</v>
      </c>
      <c r="C119" s="317">
        <v>75</v>
      </c>
      <c r="D119" s="318">
        <v>25</v>
      </c>
      <c r="E119" s="317">
        <v>10</v>
      </c>
      <c r="F119" s="317">
        <v>35</v>
      </c>
      <c r="G119" s="317" t="s">
        <v>1268</v>
      </c>
      <c r="H119" s="280">
        <v>30</v>
      </c>
    </row>
    <row r="120" spans="1:9" ht="18" customHeight="1">
      <c r="A120" s="319" t="s">
        <v>1308</v>
      </c>
      <c r="B120" s="320">
        <v>3</v>
      </c>
      <c r="C120" s="320">
        <v>63</v>
      </c>
      <c r="D120" s="321">
        <v>21</v>
      </c>
      <c r="E120" s="320">
        <v>1</v>
      </c>
      <c r="F120" s="320">
        <v>40</v>
      </c>
      <c r="G120" s="320" t="s">
        <v>1351</v>
      </c>
      <c r="H120" s="280">
        <v>22</v>
      </c>
    </row>
    <row r="121" spans="1:9" ht="15.75" customHeight="1">
      <c r="A121" s="322" t="s">
        <v>954</v>
      </c>
      <c r="B121" s="322">
        <v>76</v>
      </c>
      <c r="C121" s="322">
        <v>2443</v>
      </c>
    </row>
    <row r="122" spans="1:9" ht="31.5" customHeight="1">
      <c r="A122" s="388" t="s">
        <v>1352</v>
      </c>
      <c r="B122" s="365"/>
      <c r="C122" s="365"/>
      <c r="D122" s="365"/>
      <c r="E122" s="365"/>
      <c r="F122" s="365"/>
      <c r="G122" s="365"/>
      <c r="H122" s="365"/>
      <c r="I122" s="366"/>
    </row>
    <row r="123" spans="1:9" ht="15.75" customHeight="1"/>
    <row r="124" spans="1:9" ht="24" customHeight="1">
      <c r="A124" s="369"/>
      <c r="B124" s="365"/>
      <c r="C124" s="365"/>
      <c r="D124" s="365"/>
      <c r="E124" s="365"/>
      <c r="F124" s="365"/>
      <c r="G124" s="365"/>
      <c r="H124" s="365"/>
      <c r="I124" s="370"/>
    </row>
    <row r="125" spans="1:9" ht="84.75" customHeight="1">
      <c r="A125" s="367"/>
      <c r="B125" s="365"/>
      <c r="C125" s="365"/>
      <c r="D125" s="365"/>
      <c r="E125" s="365"/>
      <c r="F125" s="365"/>
      <c r="G125" s="365"/>
      <c r="H125" s="365"/>
      <c r="I125" s="366"/>
    </row>
    <row r="126" spans="1:9" ht="84.75" customHeight="1">
      <c r="A126" s="382"/>
      <c r="B126" s="365"/>
      <c r="C126" s="365"/>
      <c r="D126" s="365"/>
      <c r="E126" s="365"/>
      <c r="F126" s="365"/>
      <c r="G126" s="365"/>
      <c r="H126" s="365"/>
      <c r="I126" s="366"/>
    </row>
    <row r="127" spans="1:9" ht="84.75" customHeight="1">
      <c r="A127" s="367"/>
      <c r="B127" s="365"/>
      <c r="C127" s="365"/>
      <c r="D127" s="365"/>
      <c r="E127" s="365"/>
      <c r="F127" s="365"/>
      <c r="G127" s="365"/>
      <c r="H127" s="365"/>
      <c r="I127" s="366"/>
    </row>
    <row r="128" spans="1:9" ht="84.75" customHeight="1">
      <c r="A128" s="382"/>
      <c r="B128" s="365"/>
      <c r="C128" s="365"/>
      <c r="D128" s="365"/>
      <c r="E128" s="365"/>
      <c r="F128" s="365"/>
      <c r="G128" s="365"/>
      <c r="H128" s="365"/>
      <c r="I128" s="366"/>
    </row>
    <row r="129" spans="1:9" ht="25.5" customHeight="1">
      <c r="A129" s="383"/>
      <c r="B129" s="365"/>
      <c r="C129" s="365"/>
      <c r="D129" s="365"/>
      <c r="E129" s="365"/>
      <c r="F129" s="365"/>
      <c r="G129" s="365"/>
      <c r="H129" s="365"/>
      <c r="I129" s="366"/>
    </row>
    <row r="130" spans="1:9" ht="15.75" customHeight="1"/>
    <row r="131" spans="1:9" ht="15.75" customHeight="1"/>
    <row r="132" spans="1:9" ht="15.75" customHeight="1"/>
    <row r="133" spans="1:9" ht="15.75" customHeight="1"/>
    <row r="134" spans="1:9" ht="15.75" customHeight="1"/>
    <row r="135" spans="1:9" ht="15.75" customHeight="1"/>
    <row r="136" spans="1:9" ht="15.75" customHeight="1"/>
    <row r="137" spans="1:9" ht="15.75" customHeight="1"/>
    <row r="138" spans="1:9" ht="15.75" customHeight="1"/>
    <row r="139" spans="1:9" ht="15.75" customHeight="1"/>
    <row r="140" spans="1:9" ht="15.75" customHeight="1"/>
    <row r="141" spans="1:9" ht="15.75" customHeight="1"/>
    <row r="142" spans="1:9" ht="15.75" customHeight="1"/>
    <row r="143" spans="1:9" ht="15.75" customHeight="1"/>
    <row r="144" spans="1:9"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27:I127"/>
    <mergeCell ref="A128:I128"/>
    <mergeCell ref="A129:I129"/>
    <mergeCell ref="A94:B94"/>
    <mergeCell ref="A95:B95"/>
    <mergeCell ref="F95:I95"/>
    <mergeCell ref="A96:B96"/>
    <mergeCell ref="A98:I98"/>
    <mergeCell ref="A112:I112"/>
    <mergeCell ref="A122:I122"/>
    <mergeCell ref="A92:B92"/>
    <mergeCell ref="A93:B93"/>
    <mergeCell ref="A124:I124"/>
    <mergeCell ref="A125:I125"/>
    <mergeCell ref="A126:I126"/>
    <mergeCell ref="A1:J1"/>
    <mergeCell ref="A2:J2"/>
    <mergeCell ref="A90:I90"/>
    <mergeCell ref="A91:B91"/>
    <mergeCell ref="F91:I91"/>
  </mergeCells>
  <pageMargins left="0.75" right="0.75" top="1" bottom="1" header="0" footer="0"/>
  <pageSetup paperSize="9" orientation="portrait"/>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2AE5B-7389-447B-BB78-6843A85DD4C7}">
  <dimension ref="A1"/>
  <sheetViews>
    <sheetView workbookViewId="0"/>
  </sheetViews>
  <sheetFormatPr defaultRowHeight="15"/>
  <cols>
    <col min="1" max="1" width="46.7109375" customWidth="1"/>
  </cols>
  <sheetData>
    <row r="1" spans="1:1">
      <c r="A1" s="27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20002-293D-4A84-9805-CA7C176DF909}">
  <dimension ref="A1:I89"/>
  <sheetViews>
    <sheetView workbookViewId="0"/>
  </sheetViews>
  <sheetFormatPr defaultRowHeight="15"/>
  <cols>
    <col min="2" max="2" width="34.7109375" customWidth="1"/>
    <col min="3" max="3" width="70.7109375" customWidth="1"/>
    <col min="7" max="7" width="30.7109375" customWidth="1"/>
    <col min="8" max="8" width="24.7109375" customWidth="1"/>
    <col min="9" max="9" width="50.7109375" customWidth="1"/>
  </cols>
  <sheetData>
    <row r="1" spans="1:9">
      <c r="A1" s="279" t="s">
        <v>0</v>
      </c>
      <c r="B1" s="279" t="s">
        <v>8</v>
      </c>
      <c r="C1" s="279" t="s">
        <v>1355</v>
      </c>
      <c r="D1" s="279" t="s">
        <v>1356</v>
      </c>
      <c r="E1" s="279" t="s">
        <v>1357</v>
      </c>
      <c r="F1" s="279" t="s">
        <v>1358</v>
      </c>
      <c r="G1" s="279" t="s">
        <v>1359</v>
      </c>
      <c r="H1" s="279" t="s">
        <v>1360</v>
      </c>
      <c r="I1" s="279" t="s">
        <v>1361</v>
      </c>
    </row>
    <row r="2" spans="1:9">
      <c r="A2" s="280">
        <v>1</v>
      </c>
      <c r="B2" s="280" t="s">
        <v>23</v>
      </c>
      <c r="C2" s="280" t="s">
        <v>30</v>
      </c>
      <c r="D2" s="280">
        <v>2</v>
      </c>
      <c r="E2" s="280">
        <v>0</v>
      </c>
      <c r="F2" s="280" t="s">
        <v>1362</v>
      </c>
      <c r="G2" s="280" t="s">
        <v>1363</v>
      </c>
      <c r="H2" s="280" t="s">
        <v>1362</v>
      </c>
      <c r="I2" s="280"/>
    </row>
    <row r="3" spans="1:9">
      <c r="A3">
        <v>2</v>
      </c>
      <c r="B3" t="s">
        <v>36</v>
      </c>
      <c r="C3" t="s">
        <v>40</v>
      </c>
      <c r="D3">
        <v>4</v>
      </c>
      <c r="E3">
        <v>4</v>
      </c>
      <c r="F3" t="s">
        <v>1364</v>
      </c>
      <c r="H3" t="s">
        <v>1364</v>
      </c>
      <c r="I3" t="s">
        <v>1365</v>
      </c>
    </row>
    <row r="4" spans="1:9">
      <c r="A4">
        <v>3</v>
      </c>
      <c r="B4" t="s">
        <v>44</v>
      </c>
      <c r="C4" t="s">
        <v>49</v>
      </c>
      <c r="D4">
        <v>4</v>
      </c>
      <c r="E4">
        <v>4</v>
      </c>
      <c r="F4" t="s">
        <v>1364</v>
      </c>
      <c r="H4" t="s">
        <v>1364</v>
      </c>
      <c r="I4" t="s">
        <v>1366</v>
      </c>
    </row>
    <row r="5" spans="1:9">
      <c r="A5">
        <v>4</v>
      </c>
      <c r="B5" t="s">
        <v>53</v>
      </c>
      <c r="C5" t="s">
        <v>57</v>
      </c>
      <c r="D5">
        <v>1</v>
      </c>
      <c r="E5">
        <v>1</v>
      </c>
      <c r="F5" t="s">
        <v>1362</v>
      </c>
      <c r="H5" t="s">
        <v>1362</v>
      </c>
      <c r="I5" t="s">
        <v>1367</v>
      </c>
    </row>
    <row r="6" spans="1:9">
      <c r="A6">
        <v>5</v>
      </c>
      <c r="B6" t="s">
        <v>61</v>
      </c>
      <c r="C6" t="s">
        <v>66</v>
      </c>
      <c r="D6">
        <v>1</v>
      </c>
      <c r="E6">
        <v>1</v>
      </c>
      <c r="F6" t="s">
        <v>1362</v>
      </c>
      <c r="H6" t="s">
        <v>1362</v>
      </c>
      <c r="I6" t="s">
        <v>1367</v>
      </c>
    </row>
    <row r="7" spans="1:9">
      <c r="A7">
        <v>6</v>
      </c>
      <c r="B7" t="s">
        <v>70</v>
      </c>
      <c r="C7" t="s">
        <v>76</v>
      </c>
      <c r="D7">
        <v>1</v>
      </c>
      <c r="E7">
        <v>1</v>
      </c>
      <c r="F7" t="s">
        <v>1362</v>
      </c>
      <c r="H7" t="s">
        <v>1362</v>
      </c>
      <c r="I7" t="s">
        <v>1367</v>
      </c>
    </row>
    <row r="8" spans="1:9">
      <c r="A8">
        <v>7</v>
      </c>
      <c r="B8" t="s">
        <v>81</v>
      </c>
      <c r="C8" t="s">
        <v>87</v>
      </c>
      <c r="D8">
        <v>1</v>
      </c>
      <c r="E8">
        <v>1</v>
      </c>
      <c r="F8" t="s">
        <v>1362</v>
      </c>
      <c r="H8" t="s">
        <v>1362</v>
      </c>
      <c r="I8" t="s">
        <v>1368</v>
      </c>
    </row>
    <row r="9" spans="1:9">
      <c r="A9">
        <v>8</v>
      </c>
      <c r="B9" t="s">
        <v>92</v>
      </c>
      <c r="C9" t="s">
        <v>96</v>
      </c>
      <c r="D9">
        <v>3</v>
      </c>
      <c r="E9">
        <v>3</v>
      </c>
      <c r="F9" t="s">
        <v>1364</v>
      </c>
      <c r="H9" t="s">
        <v>1364</v>
      </c>
      <c r="I9" t="s">
        <v>1369</v>
      </c>
    </row>
    <row r="10" spans="1:9">
      <c r="A10">
        <v>9</v>
      </c>
      <c r="B10" t="s">
        <v>101</v>
      </c>
      <c r="C10" t="s">
        <v>106</v>
      </c>
      <c r="D10">
        <v>3</v>
      </c>
      <c r="E10">
        <v>3</v>
      </c>
      <c r="F10" t="s">
        <v>1364</v>
      </c>
      <c r="H10" t="s">
        <v>1364</v>
      </c>
      <c r="I10" t="s">
        <v>1370</v>
      </c>
    </row>
    <row r="11" spans="1:9">
      <c r="A11">
        <v>10</v>
      </c>
      <c r="B11" t="s">
        <v>111</v>
      </c>
      <c r="C11" t="s">
        <v>117</v>
      </c>
      <c r="D11">
        <v>1</v>
      </c>
      <c r="E11">
        <v>1</v>
      </c>
      <c r="F11" t="s">
        <v>1362</v>
      </c>
      <c r="H11" t="s">
        <v>1362</v>
      </c>
      <c r="I11" t="s">
        <v>1367</v>
      </c>
    </row>
    <row r="12" spans="1:9">
      <c r="A12">
        <v>11</v>
      </c>
      <c r="B12" t="s">
        <v>122</v>
      </c>
      <c r="C12" t="s">
        <v>128</v>
      </c>
      <c r="D12">
        <v>6</v>
      </c>
      <c r="E12">
        <v>6</v>
      </c>
      <c r="F12" t="s">
        <v>1364</v>
      </c>
      <c r="H12" t="s">
        <v>1364</v>
      </c>
      <c r="I12" t="s">
        <v>1371</v>
      </c>
    </row>
    <row r="13" spans="1:9">
      <c r="A13">
        <v>12</v>
      </c>
      <c r="B13" t="s">
        <v>133</v>
      </c>
      <c r="C13" t="s">
        <v>138</v>
      </c>
      <c r="D13">
        <v>1</v>
      </c>
      <c r="E13">
        <v>1</v>
      </c>
      <c r="F13" t="s">
        <v>1362</v>
      </c>
      <c r="H13" t="s">
        <v>1362</v>
      </c>
      <c r="I13" t="s">
        <v>1367</v>
      </c>
    </row>
    <row r="14" spans="1:9">
      <c r="A14">
        <v>13</v>
      </c>
      <c r="B14" t="s">
        <v>144</v>
      </c>
      <c r="C14" t="s">
        <v>149</v>
      </c>
      <c r="D14">
        <v>1</v>
      </c>
      <c r="E14">
        <v>0</v>
      </c>
      <c r="F14" t="s">
        <v>1362</v>
      </c>
      <c r="H14" t="s">
        <v>1362</v>
      </c>
    </row>
    <row r="15" spans="1:9">
      <c r="A15">
        <v>14</v>
      </c>
      <c r="B15" t="s">
        <v>154</v>
      </c>
      <c r="C15" t="s">
        <v>160</v>
      </c>
      <c r="D15">
        <v>9</v>
      </c>
      <c r="E15">
        <v>9</v>
      </c>
      <c r="F15" t="s">
        <v>1364</v>
      </c>
      <c r="H15" t="s">
        <v>1364</v>
      </c>
      <c r="I15" t="s">
        <v>1372</v>
      </c>
    </row>
    <row r="16" spans="1:9">
      <c r="A16">
        <v>15</v>
      </c>
      <c r="B16" t="s">
        <v>166</v>
      </c>
      <c r="C16" t="s">
        <v>171</v>
      </c>
      <c r="D16">
        <v>5</v>
      </c>
      <c r="E16">
        <v>5</v>
      </c>
      <c r="F16" t="s">
        <v>1364</v>
      </c>
      <c r="H16" t="s">
        <v>1364</v>
      </c>
      <c r="I16" t="s">
        <v>1373</v>
      </c>
    </row>
    <row r="17" spans="1:9">
      <c r="A17">
        <v>16</v>
      </c>
      <c r="B17" t="s">
        <v>176</v>
      </c>
      <c r="C17" t="s">
        <v>181</v>
      </c>
      <c r="D17">
        <v>5</v>
      </c>
      <c r="E17">
        <v>4</v>
      </c>
      <c r="F17" t="s">
        <v>1364</v>
      </c>
      <c r="H17" t="s">
        <v>1364</v>
      </c>
      <c r="I17" t="s">
        <v>1374</v>
      </c>
    </row>
    <row r="18" spans="1:9">
      <c r="A18">
        <v>17</v>
      </c>
      <c r="B18" t="s">
        <v>187</v>
      </c>
      <c r="C18" t="s">
        <v>193</v>
      </c>
      <c r="D18">
        <v>7</v>
      </c>
      <c r="E18">
        <v>7</v>
      </c>
      <c r="F18" t="s">
        <v>1364</v>
      </c>
      <c r="H18" t="s">
        <v>1364</v>
      </c>
      <c r="I18" t="s">
        <v>1375</v>
      </c>
    </row>
    <row r="19" spans="1:9">
      <c r="A19" s="280">
        <v>18</v>
      </c>
      <c r="B19" s="280" t="s">
        <v>198</v>
      </c>
      <c r="C19" s="280" t="s">
        <v>202</v>
      </c>
      <c r="D19" s="280">
        <v>2</v>
      </c>
      <c r="E19" s="280">
        <v>2</v>
      </c>
      <c r="F19" s="280" t="s">
        <v>1364</v>
      </c>
      <c r="G19" s="280" t="s">
        <v>1376</v>
      </c>
      <c r="H19" s="280" t="s">
        <v>1364</v>
      </c>
      <c r="I19" s="280" t="s">
        <v>1377</v>
      </c>
    </row>
    <row r="20" spans="1:9">
      <c r="A20">
        <v>19</v>
      </c>
      <c r="B20" t="s">
        <v>208</v>
      </c>
      <c r="C20" t="s">
        <v>213</v>
      </c>
      <c r="D20">
        <v>8</v>
      </c>
      <c r="E20">
        <v>8</v>
      </c>
      <c r="F20" t="s">
        <v>1364</v>
      </c>
      <c r="H20" t="s">
        <v>1364</v>
      </c>
      <c r="I20" t="s">
        <v>1378</v>
      </c>
    </row>
    <row r="21" spans="1:9">
      <c r="A21">
        <v>20</v>
      </c>
      <c r="B21" t="s">
        <v>218</v>
      </c>
      <c r="C21" t="s">
        <v>223</v>
      </c>
      <c r="D21">
        <v>6</v>
      </c>
      <c r="E21">
        <v>6</v>
      </c>
      <c r="F21" t="s">
        <v>1364</v>
      </c>
      <c r="H21" t="s">
        <v>1364</v>
      </c>
      <c r="I21" t="s">
        <v>1379</v>
      </c>
    </row>
    <row r="22" spans="1:9">
      <c r="A22">
        <v>21</v>
      </c>
      <c r="B22" t="s">
        <v>229</v>
      </c>
      <c r="C22" t="s">
        <v>233</v>
      </c>
      <c r="D22">
        <v>6</v>
      </c>
      <c r="E22">
        <v>6</v>
      </c>
      <c r="F22" t="s">
        <v>1364</v>
      </c>
      <c r="H22" t="s">
        <v>1364</v>
      </c>
      <c r="I22" t="s">
        <v>1380</v>
      </c>
    </row>
    <row r="23" spans="1:9">
      <c r="A23">
        <v>22</v>
      </c>
      <c r="B23" t="s">
        <v>238</v>
      </c>
      <c r="C23" t="s">
        <v>242</v>
      </c>
      <c r="D23">
        <v>14</v>
      </c>
      <c r="E23">
        <v>14</v>
      </c>
      <c r="F23" t="s">
        <v>1364</v>
      </c>
      <c r="H23" t="s">
        <v>1364</v>
      </c>
      <c r="I23" t="s">
        <v>1381</v>
      </c>
    </row>
    <row r="24" spans="1:9">
      <c r="A24">
        <v>23</v>
      </c>
      <c r="B24" t="s">
        <v>248</v>
      </c>
      <c r="C24" t="s">
        <v>254</v>
      </c>
      <c r="D24">
        <v>1</v>
      </c>
      <c r="E24">
        <v>1</v>
      </c>
      <c r="F24" t="s">
        <v>1362</v>
      </c>
      <c r="H24" t="s">
        <v>1362</v>
      </c>
      <c r="I24" t="s">
        <v>1367</v>
      </c>
    </row>
    <row r="25" spans="1:9">
      <c r="A25" s="280">
        <v>24</v>
      </c>
      <c r="B25" s="280" t="s">
        <v>258</v>
      </c>
      <c r="C25" s="280" t="s">
        <v>263</v>
      </c>
      <c r="D25" s="280">
        <v>2</v>
      </c>
      <c r="E25" s="280">
        <v>1</v>
      </c>
      <c r="F25" s="280" t="s">
        <v>1362</v>
      </c>
      <c r="G25" s="280" t="s">
        <v>1363</v>
      </c>
      <c r="H25" s="280" t="s">
        <v>1362</v>
      </c>
      <c r="I25" s="280" t="s">
        <v>1382</v>
      </c>
    </row>
    <row r="26" spans="1:9">
      <c r="A26">
        <v>25</v>
      </c>
      <c r="B26" t="s">
        <v>267</v>
      </c>
      <c r="C26" t="s">
        <v>272</v>
      </c>
      <c r="D26">
        <v>1</v>
      </c>
      <c r="E26">
        <v>1</v>
      </c>
      <c r="F26" t="s">
        <v>1362</v>
      </c>
      <c r="H26" t="s">
        <v>1362</v>
      </c>
      <c r="I26" t="s">
        <v>1383</v>
      </c>
    </row>
    <row r="27" spans="1:9">
      <c r="A27">
        <v>26</v>
      </c>
      <c r="B27" t="s">
        <v>277</v>
      </c>
      <c r="C27" t="s">
        <v>284</v>
      </c>
      <c r="D27">
        <v>5</v>
      </c>
      <c r="E27">
        <v>4</v>
      </c>
      <c r="F27" t="s">
        <v>1364</v>
      </c>
      <c r="H27" t="s">
        <v>1364</v>
      </c>
      <c r="I27" t="s">
        <v>1384</v>
      </c>
    </row>
    <row r="28" spans="1:9">
      <c r="A28">
        <v>27</v>
      </c>
      <c r="B28" t="s">
        <v>289</v>
      </c>
      <c r="C28" t="s">
        <v>296</v>
      </c>
      <c r="D28">
        <v>4</v>
      </c>
      <c r="E28">
        <v>4</v>
      </c>
      <c r="F28" t="s">
        <v>1364</v>
      </c>
      <c r="H28" t="s">
        <v>1364</v>
      </c>
      <c r="I28" t="s">
        <v>1385</v>
      </c>
    </row>
    <row r="29" spans="1:9">
      <c r="A29" s="280">
        <v>28</v>
      </c>
      <c r="B29" s="280" t="s">
        <v>301</v>
      </c>
      <c r="C29" s="280" t="s">
        <v>307</v>
      </c>
      <c r="D29" s="280">
        <v>2</v>
      </c>
      <c r="E29" s="280">
        <v>2</v>
      </c>
      <c r="F29" s="280" t="s">
        <v>1364</v>
      </c>
      <c r="G29" s="280" t="s">
        <v>1376</v>
      </c>
      <c r="H29" s="280" t="s">
        <v>1364</v>
      </c>
      <c r="I29" s="280" t="s">
        <v>1386</v>
      </c>
    </row>
    <row r="30" spans="1:9">
      <c r="A30" s="280">
        <v>29</v>
      </c>
      <c r="B30" s="280" t="s">
        <v>311</v>
      </c>
      <c r="C30" s="280" t="s">
        <v>317</v>
      </c>
      <c r="D30" s="280">
        <v>2</v>
      </c>
      <c r="E30" s="280">
        <v>1</v>
      </c>
      <c r="F30" s="280" t="s">
        <v>1362</v>
      </c>
      <c r="G30" s="280" t="s">
        <v>1363</v>
      </c>
      <c r="H30" s="280" t="s">
        <v>1362</v>
      </c>
      <c r="I30" s="280" t="s">
        <v>1387</v>
      </c>
    </row>
    <row r="31" spans="1:9">
      <c r="A31" s="280">
        <v>30</v>
      </c>
      <c r="B31" s="280" t="s">
        <v>322</v>
      </c>
      <c r="C31" s="280" t="s">
        <v>327</v>
      </c>
      <c r="D31" s="280">
        <v>2</v>
      </c>
      <c r="E31" s="280">
        <v>2</v>
      </c>
      <c r="F31" s="280" t="s">
        <v>1364</v>
      </c>
      <c r="G31" s="280" t="s">
        <v>1376</v>
      </c>
      <c r="H31" s="280" t="s">
        <v>1364</v>
      </c>
      <c r="I31" s="280" t="s">
        <v>1388</v>
      </c>
    </row>
    <row r="32" spans="1:9">
      <c r="A32">
        <v>31</v>
      </c>
      <c r="B32" t="s">
        <v>332</v>
      </c>
      <c r="C32" t="s">
        <v>339</v>
      </c>
      <c r="D32">
        <v>8</v>
      </c>
      <c r="E32">
        <v>8</v>
      </c>
      <c r="F32" t="s">
        <v>1364</v>
      </c>
      <c r="H32" t="s">
        <v>1364</v>
      </c>
      <c r="I32" t="s">
        <v>1389</v>
      </c>
    </row>
    <row r="33" spans="1:9">
      <c r="A33">
        <v>32</v>
      </c>
      <c r="B33" t="s">
        <v>344</v>
      </c>
      <c r="C33" t="s">
        <v>349</v>
      </c>
      <c r="D33">
        <v>1</v>
      </c>
      <c r="E33">
        <v>1</v>
      </c>
      <c r="F33" t="s">
        <v>1362</v>
      </c>
      <c r="H33" t="s">
        <v>1362</v>
      </c>
      <c r="I33" t="s">
        <v>1367</v>
      </c>
    </row>
    <row r="34" spans="1:9">
      <c r="A34">
        <v>33</v>
      </c>
      <c r="B34" t="s">
        <v>355</v>
      </c>
      <c r="C34" t="s">
        <v>360</v>
      </c>
      <c r="D34">
        <v>7</v>
      </c>
      <c r="E34">
        <v>7</v>
      </c>
      <c r="F34" t="s">
        <v>1364</v>
      </c>
      <c r="H34" t="s">
        <v>1364</v>
      </c>
      <c r="I34" t="s">
        <v>1390</v>
      </c>
    </row>
    <row r="35" spans="1:9">
      <c r="A35">
        <v>34</v>
      </c>
      <c r="B35" t="s">
        <v>366</v>
      </c>
      <c r="C35" t="s">
        <v>370</v>
      </c>
      <c r="D35">
        <v>1</v>
      </c>
      <c r="E35">
        <v>1</v>
      </c>
      <c r="F35" t="s">
        <v>1362</v>
      </c>
      <c r="H35" t="s">
        <v>1362</v>
      </c>
      <c r="I35" t="s">
        <v>1391</v>
      </c>
    </row>
    <row r="36" spans="1:9">
      <c r="A36">
        <v>35</v>
      </c>
      <c r="B36" t="s">
        <v>375</v>
      </c>
      <c r="C36" t="s">
        <v>381</v>
      </c>
      <c r="D36">
        <v>1</v>
      </c>
      <c r="E36">
        <v>1</v>
      </c>
      <c r="F36" t="s">
        <v>1362</v>
      </c>
      <c r="H36" t="s">
        <v>1362</v>
      </c>
      <c r="I36" t="s">
        <v>1367</v>
      </c>
    </row>
    <row r="37" spans="1:9">
      <c r="A37">
        <v>36</v>
      </c>
      <c r="B37" t="s">
        <v>386</v>
      </c>
      <c r="C37" t="s">
        <v>391</v>
      </c>
      <c r="D37">
        <v>3</v>
      </c>
      <c r="E37">
        <v>3</v>
      </c>
      <c r="F37" t="s">
        <v>1364</v>
      </c>
      <c r="H37" t="s">
        <v>1364</v>
      </c>
      <c r="I37" t="s">
        <v>1392</v>
      </c>
    </row>
    <row r="38" spans="1:9">
      <c r="A38">
        <v>37</v>
      </c>
      <c r="B38" t="s">
        <v>396</v>
      </c>
      <c r="C38" t="s">
        <v>403</v>
      </c>
      <c r="D38">
        <v>1</v>
      </c>
      <c r="E38">
        <v>1</v>
      </c>
      <c r="F38" t="s">
        <v>1362</v>
      </c>
      <c r="H38" t="s">
        <v>1362</v>
      </c>
      <c r="I38" t="s">
        <v>1393</v>
      </c>
    </row>
    <row r="39" spans="1:9">
      <c r="A39">
        <v>38</v>
      </c>
      <c r="B39" t="s">
        <v>409</v>
      </c>
      <c r="C39" t="s">
        <v>414</v>
      </c>
      <c r="D39">
        <v>3</v>
      </c>
      <c r="E39">
        <v>3</v>
      </c>
      <c r="F39" t="s">
        <v>1364</v>
      </c>
      <c r="H39" t="s">
        <v>1364</v>
      </c>
      <c r="I39" t="s">
        <v>1394</v>
      </c>
    </row>
    <row r="40" spans="1:9">
      <c r="A40">
        <v>39</v>
      </c>
      <c r="B40" t="s">
        <v>420</v>
      </c>
      <c r="C40" t="s">
        <v>426</v>
      </c>
      <c r="D40">
        <v>1</v>
      </c>
      <c r="E40">
        <v>1</v>
      </c>
      <c r="F40" t="s">
        <v>1362</v>
      </c>
      <c r="H40" t="s">
        <v>1362</v>
      </c>
      <c r="I40" t="s">
        <v>1395</v>
      </c>
    </row>
    <row r="41" spans="1:9">
      <c r="A41">
        <v>40</v>
      </c>
      <c r="B41" t="s">
        <v>432</v>
      </c>
      <c r="C41" t="s">
        <v>436</v>
      </c>
      <c r="D41">
        <v>1</v>
      </c>
      <c r="E41">
        <v>1</v>
      </c>
      <c r="F41" t="s">
        <v>1362</v>
      </c>
      <c r="H41" t="s">
        <v>1362</v>
      </c>
      <c r="I41" t="s">
        <v>1367</v>
      </c>
    </row>
    <row r="42" spans="1:9">
      <c r="A42" s="280">
        <v>41</v>
      </c>
      <c r="B42" s="280" t="s">
        <v>441</v>
      </c>
      <c r="C42" s="280" t="s">
        <v>447</v>
      </c>
      <c r="D42" s="280">
        <v>2</v>
      </c>
      <c r="E42" s="280">
        <v>1</v>
      </c>
      <c r="F42" s="280" t="s">
        <v>1362</v>
      </c>
      <c r="G42" s="280" t="s">
        <v>1363</v>
      </c>
      <c r="H42" s="280" t="s">
        <v>1362</v>
      </c>
      <c r="I42" s="280" t="s">
        <v>1396</v>
      </c>
    </row>
    <row r="43" spans="1:9">
      <c r="A43">
        <v>42</v>
      </c>
      <c r="B43" t="s">
        <v>451</v>
      </c>
      <c r="C43" t="s">
        <v>457</v>
      </c>
      <c r="D43">
        <v>1</v>
      </c>
      <c r="E43">
        <v>1</v>
      </c>
      <c r="F43" t="s">
        <v>1362</v>
      </c>
      <c r="H43" t="s">
        <v>1362</v>
      </c>
      <c r="I43" t="s">
        <v>1367</v>
      </c>
    </row>
    <row r="44" spans="1:9">
      <c r="A44">
        <v>43</v>
      </c>
      <c r="B44" t="s">
        <v>461</v>
      </c>
      <c r="C44" t="s">
        <v>466</v>
      </c>
      <c r="D44">
        <v>5</v>
      </c>
      <c r="E44">
        <v>5</v>
      </c>
      <c r="F44" t="s">
        <v>1364</v>
      </c>
      <c r="H44" t="s">
        <v>1364</v>
      </c>
      <c r="I44" t="s">
        <v>1397</v>
      </c>
    </row>
    <row r="45" spans="1:9">
      <c r="A45">
        <v>44</v>
      </c>
      <c r="B45" t="s">
        <v>470</v>
      </c>
      <c r="C45" t="s">
        <v>473</v>
      </c>
      <c r="D45">
        <v>3</v>
      </c>
      <c r="E45">
        <v>3</v>
      </c>
      <c r="F45" t="s">
        <v>1364</v>
      </c>
      <c r="H45" t="s">
        <v>1364</v>
      </c>
      <c r="I45" t="s">
        <v>1398</v>
      </c>
    </row>
    <row r="46" spans="1:9">
      <c r="A46">
        <v>45</v>
      </c>
      <c r="B46" t="s">
        <v>478</v>
      </c>
      <c r="C46" t="s">
        <v>481</v>
      </c>
      <c r="D46">
        <v>1</v>
      </c>
      <c r="E46">
        <v>1</v>
      </c>
      <c r="F46" t="s">
        <v>1362</v>
      </c>
      <c r="H46" t="s">
        <v>1362</v>
      </c>
      <c r="I46" t="s">
        <v>1367</v>
      </c>
    </row>
    <row r="47" spans="1:9">
      <c r="A47">
        <v>46</v>
      </c>
      <c r="B47" t="s">
        <v>486</v>
      </c>
      <c r="C47" t="s">
        <v>489</v>
      </c>
      <c r="D47">
        <v>1</v>
      </c>
      <c r="E47">
        <v>1</v>
      </c>
      <c r="F47" t="s">
        <v>1362</v>
      </c>
      <c r="H47" t="s">
        <v>1362</v>
      </c>
      <c r="I47" t="s">
        <v>1399</v>
      </c>
    </row>
    <row r="48" spans="1:9">
      <c r="A48">
        <v>47</v>
      </c>
      <c r="B48" t="s">
        <v>494</v>
      </c>
      <c r="C48" t="s">
        <v>498</v>
      </c>
      <c r="D48">
        <v>6</v>
      </c>
      <c r="E48">
        <v>6</v>
      </c>
      <c r="F48" t="s">
        <v>1364</v>
      </c>
      <c r="H48" t="s">
        <v>1364</v>
      </c>
      <c r="I48" t="s">
        <v>1400</v>
      </c>
    </row>
    <row r="49" spans="1:9">
      <c r="A49">
        <v>48</v>
      </c>
      <c r="B49" t="s">
        <v>503</v>
      </c>
      <c r="C49" t="s">
        <v>507</v>
      </c>
      <c r="D49">
        <v>8</v>
      </c>
      <c r="E49">
        <v>8</v>
      </c>
      <c r="F49" t="s">
        <v>1364</v>
      </c>
      <c r="H49" t="s">
        <v>1364</v>
      </c>
      <c r="I49" t="s">
        <v>1401</v>
      </c>
    </row>
    <row r="50" spans="1:9">
      <c r="A50">
        <v>49</v>
      </c>
      <c r="B50" t="s">
        <v>512</v>
      </c>
      <c r="C50" t="s">
        <v>517</v>
      </c>
      <c r="D50">
        <v>6</v>
      </c>
      <c r="E50">
        <v>6</v>
      </c>
      <c r="F50" t="s">
        <v>1364</v>
      </c>
      <c r="H50" t="s">
        <v>1364</v>
      </c>
      <c r="I50" t="s">
        <v>1402</v>
      </c>
    </row>
    <row r="51" spans="1:9">
      <c r="A51">
        <v>50</v>
      </c>
      <c r="B51" t="s">
        <v>522</v>
      </c>
      <c r="C51" t="s">
        <v>525</v>
      </c>
      <c r="D51">
        <v>3</v>
      </c>
      <c r="E51">
        <v>3</v>
      </c>
      <c r="F51" t="s">
        <v>1364</v>
      </c>
      <c r="H51" t="s">
        <v>1364</v>
      </c>
      <c r="I51" t="s">
        <v>1403</v>
      </c>
    </row>
    <row r="52" spans="1:9">
      <c r="A52">
        <v>51</v>
      </c>
      <c r="B52" t="s">
        <v>530</v>
      </c>
      <c r="C52" t="s">
        <v>535</v>
      </c>
      <c r="D52">
        <v>8</v>
      </c>
      <c r="E52">
        <v>7</v>
      </c>
      <c r="F52" t="s">
        <v>1364</v>
      </c>
      <c r="H52" t="s">
        <v>1364</v>
      </c>
      <c r="I52" t="s">
        <v>1404</v>
      </c>
    </row>
    <row r="53" spans="1:9">
      <c r="A53">
        <v>52</v>
      </c>
      <c r="B53" t="s">
        <v>540</v>
      </c>
      <c r="C53" t="s">
        <v>544</v>
      </c>
      <c r="D53">
        <v>3</v>
      </c>
      <c r="E53">
        <v>3</v>
      </c>
      <c r="F53" t="s">
        <v>1364</v>
      </c>
      <c r="H53" t="s">
        <v>1364</v>
      </c>
      <c r="I53" t="s">
        <v>1405</v>
      </c>
    </row>
    <row r="54" spans="1:9">
      <c r="A54">
        <v>54</v>
      </c>
      <c r="B54" t="s">
        <v>557</v>
      </c>
      <c r="C54" t="s">
        <v>563</v>
      </c>
      <c r="D54">
        <v>5</v>
      </c>
      <c r="E54">
        <v>3</v>
      </c>
      <c r="F54" t="s">
        <v>1364</v>
      </c>
      <c r="H54" t="s">
        <v>1364</v>
      </c>
      <c r="I54" t="s">
        <v>1406</v>
      </c>
    </row>
    <row r="55" spans="1:9">
      <c r="A55">
        <v>58</v>
      </c>
      <c r="B55" t="s">
        <v>593</v>
      </c>
      <c r="C55" t="s">
        <v>598</v>
      </c>
      <c r="D55">
        <v>1</v>
      </c>
      <c r="E55">
        <v>1</v>
      </c>
      <c r="F55" t="s">
        <v>1362</v>
      </c>
      <c r="H55" t="s">
        <v>1362</v>
      </c>
      <c r="I55" t="s">
        <v>1407</v>
      </c>
    </row>
    <row r="56" spans="1:9">
      <c r="A56" s="280">
        <v>59</v>
      </c>
      <c r="B56" s="280" t="s">
        <v>603</v>
      </c>
      <c r="C56" s="280" t="s">
        <v>608</v>
      </c>
      <c r="D56" s="280">
        <v>4</v>
      </c>
      <c r="E56" s="280">
        <v>2</v>
      </c>
      <c r="F56" s="280" t="s">
        <v>1364</v>
      </c>
      <c r="G56" s="280" t="s">
        <v>1376</v>
      </c>
      <c r="H56" s="280" t="s">
        <v>1364</v>
      </c>
      <c r="I56" s="280" t="s">
        <v>1408</v>
      </c>
    </row>
    <row r="57" spans="1:9">
      <c r="A57" s="280">
        <v>60</v>
      </c>
      <c r="B57" s="280" t="s">
        <v>603</v>
      </c>
      <c r="C57" s="280" t="s">
        <v>619</v>
      </c>
      <c r="D57" s="280">
        <v>2</v>
      </c>
      <c r="E57" s="280">
        <v>2</v>
      </c>
      <c r="F57" s="280" t="s">
        <v>1364</v>
      </c>
      <c r="G57" s="280" t="s">
        <v>1376</v>
      </c>
      <c r="H57" s="280" t="s">
        <v>1364</v>
      </c>
      <c r="I57" s="280" t="s">
        <v>1409</v>
      </c>
    </row>
    <row r="58" spans="1:9">
      <c r="A58">
        <v>62</v>
      </c>
      <c r="B58" t="s">
        <v>631</v>
      </c>
      <c r="C58" t="s">
        <v>637</v>
      </c>
      <c r="D58">
        <v>1</v>
      </c>
      <c r="E58">
        <v>1</v>
      </c>
      <c r="F58" t="s">
        <v>1362</v>
      </c>
      <c r="H58" t="s">
        <v>1362</v>
      </c>
      <c r="I58" t="s">
        <v>1410</v>
      </c>
    </row>
    <row r="59" spans="1:9">
      <c r="A59">
        <v>63</v>
      </c>
      <c r="B59" t="s">
        <v>603</v>
      </c>
      <c r="C59" t="s">
        <v>648</v>
      </c>
      <c r="D59">
        <v>1</v>
      </c>
      <c r="E59">
        <v>0</v>
      </c>
      <c r="F59" t="s">
        <v>1362</v>
      </c>
      <c r="H59" t="s">
        <v>1362</v>
      </c>
    </row>
    <row r="60" spans="1:9">
      <c r="A60" s="280">
        <v>68</v>
      </c>
      <c r="B60" s="280" t="s">
        <v>685</v>
      </c>
      <c r="C60" s="280" t="s">
        <v>692</v>
      </c>
      <c r="D60" s="280">
        <v>2</v>
      </c>
      <c r="E60" s="280">
        <v>2</v>
      </c>
      <c r="F60" s="280" t="s">
        <v>1364</v>
      </c>
      <c r="G60" s="280" t="s">
        <v>1376</v>
      </c>
      <c r="H60" s="280" t="s">
        <v>1364</v>
      </c>
      <c r="I60" s="280" t="s">
        <v>1411</v>
      </c>
    </row>
    <row r="61" spans="1:9">
      <c r="A61" s="280">
        <v>69</v>
      </c>
      <c r="B61" s="280" t="s">
        <v>696</v>
      </c>
      <c r="C61" s="280" t="s">
        <v>701</v>
      </c>
      <c r="D61" s="280">
        <v>2</v>
      </c>
      <c r="E61" s="280">
        <v>1</v>
      </c>
      <c r="F61" s="280" t="s">
        <v>1362</v>
      </c>
      <c r="G61" s="280" t="s">
        <v>1363</v>
      </c>
      <c r="H61" s="280" t="s">
        <v>1362</v>
      </c>
      <c r="I61" s="280" t="s">
        <v>1412</v>
      </c>
    </row>
    <row r="62" spans="1:9">
      <c r="A62">
        <v>70</v>
      </c>
      <c r="B62" t="s">
        <v>705</v>
      </c>
      <c r="C62" t="s">
        <v>711</v>
      </c>
      <c r="D62">
        <v>1</v>
      </c>
      <c r="E62">
        <v>1</v>
      </c>
      <c r="F62" t="s">
        <v>1362</v>
      </c>
      <c r="H62" t="s">
        <v>1362</v>
      </c>
      <c r="I62" t="s">
        <v>1413</v>
      </c>
    </row>
    <row r="63" spans="1:9">
      <c r="A63" s="280">
        <v>71</v>
      </c>
      <c r="B63" s="280" t="s">
        <v>716</v>
      </c>
      <c r="C63" s="280" t="s">
        <v>722</v>
      </c>
      <c r="D63" s="280">
        <v>2</v>
      </c>
      <c r="E63" s="280">
        <v>1</v>
      </c>
      <c r="F63" s="280" t="s">
        <v>1362</v>
      </c>
      <c r="G63" s="280" t="s">
        <v>1363</v>
      </c>
      <c r="H63" s="280" t="s">
        <v>1362</v>
      </c>
      <c r="I63" s="280" t="s">
        <v>1414</v>
      </c>
    </row>
    <row r="64" spans="1:9">
      <c r="A64">
        <v>72</v>
      </c>
      <c r="B64" t="s">
        <v>727</v>
      </c>
      <c r="C64" t="s">
        <v>733</v>
      </c>
      <c r="D64">
        <v>3</v>
      </c>
      <c r="E64">
        <v>3</v>
      </c>
      <c r="F64" t="s">
        <v>1364</v>
      </c>
      <c r="H64" t="s">
        <v>1364</v>
      </c>
      <c r="I64" t="s">
        <v>1415</v>
      </c>
    </row>
    <row r="65" spans="1:9">
      <c r="A65">
        <v>73</v>
      </c>
      <c r="B65" t="s">
        <v>738</v>
      </c>
      <c r="C65" t="s">
        <v>743</v>
      </c>
      <c r="D65">
        <v>16</v>
      </c>
      <c r="E65">
        <v>16</v>
      </c>
      <c r="F65" t="s">
        <v>1364</v>
      </c>
      <c r="H65" t="s">
        <v>1364</v>
      </c>
      <c r="I65" t="s">
        <v>1416</v>
      </c>
    </row>
    <row r="66" spans="1:9">
      <c r="A66">
        <v>75</v>
      </c>
      <c r="B66" t="s">
        <v>755</v>
      </c>
      <c r="C66" t="s">
        <v>762</v>
      </c>
      <c r="D66">
        <v>5</v>
      </c>
      <c r="E66">
        <v>3</v>
      </c>
      <c r="F66" t="s">
        <v>1364</v>
      </c>
      <c r="H66" t="s">
        <v>1364</v>
      </c>
      <c r="I66" t="s">
        <v>1417</v>
      </c>
    </row>
    <row r="67" spans="1:9">
      <c r="A67">
        <v>78</v>
      </c>
      <c r="B67" t="s">
        <v>779</v>
      </c>
      <c r="C67" t="s">
        <v>785</v>
      </c>
      <c r="D67">
        <v>1</v>
      </c>
      <c r="E67">
        <v>0</v>
      </c>
      <c r="F67" t="s">
        <v>1362</v>
      </c>
      <c r="H67" t="s">
        <v>1362</v>
      </c>
    </row>
    <row r="68" spans="1:9">
      <c r="A68">
        <v>79</v>
      </c>
      <c r="B68" t="s">
        <v>603</v>
      </c>
      <c r="C68" t="s">
        <v>795</v>
      </c>
      <c r="D68">
        <v>8</v>
      </c>
      <c r="E68">
        <v>8</v>
      </c>
      <c r="F68" t="s">
        <v>1364</v>
      </c>
      <c r="H68" t="s">
        <v>1364</v>
      </c>
      <c r="I68" t="s">
        <v>1418</v>
      </c>
    </row>
    <row r="69" spans="1:9">
      <c r="A69">
        <v>81</v>
      </c>
      <c r="B69" t="s">
        <v>805</v>
      </c>
      <c r="C69" t="s">
        <v>811</v>
      </c>
      <c r="D69">
        <v>1</v>
      </c>
      <c r="E69">
        <v>0</v>
      </c>
      <c r="F69" t="s">
        <v>1362</v>
      </c>
      <c r="H69" t="s">
        <v>1362</v>
      </c>
    </row>
    <row r="70" spans="1:9">
      <c r="A70">
        <v>82</v>
      </c>
      <c r="B70" t="s">
        <v>815</v>
      </c>
      <c r="C70" t="s">
        <v>819</v>
      </c>
      <c r="D70">
        <v>8</v>
      </c>
      <c r="E70">
        <v>7</v>
      </c>
      <c r="F70" t="s">
        <v>1364</v>
      </c>
      <c r="H70" t="s">
        <v>1364</v>
      </c>
      <c r="I70" t="s">
        <v>1419</v>
      </c>
    </row>
    <row r="71" spans="1:9">
      <c r="A71">
        <v>83</v>
      </c>
      <c r="B71" t="s">
        <v>603</v>
      </c>
      <c r="C71" t="s">
        <v>826</v>
      </c>
      <c r="D71">
        <v>1</v>
      </c>
      <c r="E71">
        <v>0</v>
      </c>
      <c r="F71" t="s">
        <v>1362</v>
      </c>
      <c r="H71" t="s">
        <v>1362</v>
      </c>
    </row>
    <row r="72" spans="1:9">
      <c r="A72">
        <v>84</v>
      </c>
      <c r="B72" t="s">
        <v>830</v>
      </c>
      <c r="C72" t="s">
        <v>835</v>
      </c>
      <c r="D72">
        <v>3</v>
      </c>
      <c r="E72">
        <v>3</v>
      </c>
      <c r="F72" t="s">
        <v>1364</v>
      </c>
      <c r="H72" t="s">
        <v>1364</v>
      </c>
      <c r="I72" t="s">
        <v>1420</v>
      </c>
    </row>
    <row r="73" spans="1:9">
      <c r="A73">
        <v>86</v>
      </c>
      <c r="B73" t="s">
        <v>603</v>
      </c>
      <c r="C73" t="s">
        <v>849</v>
      </c>
      <c r="D73">
        <v>1</v>
      </c>
      <c r="E73">
        <v>0</v>
      </c>
      <c r="F73" t="s">
        <v>1362</v>
      </c>
      <c r="H73" t="s">
        <v>1362</v>
      </c>
    </row>
    <row r="74" spans="1:9">
      <c r="A74">
        <v>87</v>
      </c>
      <c r="B74" t="s">
        <v>603</v>
      </c>
      <c r="C74" t="s">
        <v>858</v>
      </c>
      <c r="D74">
        <v>4</v>
      </c>
      <c r="E74">
        <v>4</v>
      </c>
      <c r="F74" t="s">
        <v>1364</v>
      </c>
      <c r="H74" t="s">
        <v>1364</v>
      </c>
      <c r="I74" t="s">
        <v>1421</v>
      </c>
    </row>
    <row r="75" spans="1:9">
      <c r="A75">
        <v>88</v>
      </c>
      <c r="B75" t="s">
        <v>603</v>
      </c>
      <c r="C75" t="s">
        <v>867</v>
      </c>
      <c r="D75">
        <v>1</v>
      </c>
      <c r="E75">
        <v>0</v>
      </c>
      <c r="F75" t="s">
        <v>1362</v>
      </c>
      <c r="H75" t="s">
        <v>1362</v>
      </c>
    </row>
    <row r="76" spans="1:9">
      <c r="B76" t="s">
        <v>871</v>
      </c>
      <c r="C76" t="s">
        <v>875</v>
      </c>
      <c r="D76">
        <v>3</v>
      </c>
      <c r="E76">
        <v>3</v>
      </c>
      <c r="F76" t="s">
        <v>1364</v>
      </c>
      <c r="H76" t="s">
        <v>1364</v>
      </c>
      <c r="I76" t="s">
        <v>1422</v>
      </c>
    </row>
    <row r="77" spans="1:9">
      <c r="A77" s="280"/>
      <c r="B77" s="280" t="s">
        <v>880</v>
      </c>
      <c r="C77" s="280" t="s">
        <v>883</v>
      </c>
      <c r="D77" s="280">
        <v>2</v>
      </c>
      <c r="E77" s="280">
        <v>2</v>
      </c>
      <c r="F77" s="280" t="s">
        <v>1364</v>
      </c>
      <c r="G77" s="280" t="s">
        <v>1376</v>
      </c>
      <c r="H77" s="280" t="s">
        <v>1364</v>
      </c>
      <c r="I77" s="280" t="s">
        <v>1423</v>
      </c>
    </row>
    <row r="78" spans="1:9">
      <c r="B78" t="s">
        <v>899</v>
      </c>
      <c r="C78" t="s">
        <v>902</v>
      </c>
      <c r="D78">
        <v>3</v>
      </c>
      <c r="E78">
        <v>3</v>
      </c>
      <c r="F78" t="s">
        <v>1364</v>
      </c>
      <c r="H78" t="s">
        <v>1364</v>
      </c>
      <c r="I78" t="s">
        <v>1424</v>
      </c>
    </row>
    <row r="79" spans="1:9">
      <c r="B79" t="s">
        <v>913</v>
      </c>
      <c r="C79" t="s">
        <v>917</v>
      </c>
      <c r="D79">
        <v>1</v>
      </c>
      <c r="E79">
        <v>0</v>
      </c>
      <c r="F79" t="s">
        <v>1362</v>
      </c>
      <c r="H79" t="s">
        <v>1362</v>
      </c>
    </row>
    <row r="80" spans="1:9">
      <c r="B80" t="s">
        <v>923</v>
      </c>
      <c r="C80" t="s">
        <v>926</v>
      </c>
      <c r="D80">
        <v>7</v>
      </c>
      <c r="E80">
        <v>6</v>
      </c>
      <c r="F80" t="s">
        <v>1364</v>
      </c>
      <c r="H80" t="s">
        <v>1364</v>
      </c>
      <c r="I80" t="s">
        <v>1425</v>
      </c>
    </row>
    <row r="81" spans="2:9">
      <c r="B81" t="s">
        <v>932</v>
      </c>
      <c r="C81" t="s">
        <v>935</v>
      </c>
      <c r="D81">
        <v>4</v>
      </c>
      <c r="E81">
        <v>4</v>
      </c>
      <c r="F81" t="s">
        <v>1364</v>
      </c>
      <c r="H81" t="s">
        <v>1364</v>
      </c>
      <c r="I81" t="s">
        <v>1426</v>
      </c>
    </row>
    <row r="82" spans="2:9">
      <c r="B82" t="s">
        <v>941</v>
      </c>
      <c r="C82" t="s">
        <v>944</v>
      </c>
      <c r="D82">
        <v>14</v>
      </c>
      <c r="E82">
        <v>14</v>
      </c>
      <c r="F82" t="s">
        <v>1364</v>
      </c>
      <c r="H82" t="s">
        <v>1364</v>
      </c>
      <c r="I82" t="s">
        <v>1427</v>
      </c>
    </row>
    <row r="84" spans="2:9">
      <c r="B84" s="279" t="s">
        <v>1428</v>
      </c>
      <c r="C84">
        <f>COUNTIF(H2:H82,"Single")</f>
        <v>34</v>
      </c>
    </row>
    <row r="85" spans="2:9">
      <c r="B85" s="279" t="s">
        <v>1429</v>
      </c>
      <c r="C85">
        <f>COUNTIF(H2:H82,"Multitask")</f>
        <v>47</v>
      </c>
    </row>
    <row r="86" spans="2:9">
      <c r="B86" s="279" t="s">
        <v>1430</v>
      </c>
      <c r="C86">
        <f>C84+C85</f>
        <v>81</v>
      </c>
    </row>
    <row r="87" spans="2:9">
      <c r="B87" s="279" t="s">
        <v>1431</v>
      </c>
      <c r="C87" t="str">
        <f>TEXT(C85/C86*100,"0.0")&amp;"%"</f>
        <v>58.0%</v>
      </c>
    </row>
    <row r="89" spans="2:9">
      <c r="B89" t="s">
        <v>1432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A78A2-5259-40C6-8ECA-F5635FCEB60D}">
  <dimension ref="A1:F33"/>
  <sheetViews>
    <sheetView topLeftCell="C1" workbookViewId="0">
      <selection activeCell="E5" sqref="E5"/>
    </sheetView>
  </sheetViews>
  <sheetFormatPr defaultRowHeight="15"/>
  <cols>
    <col min="2" max="2" width="40.7109375" customWidth="1"/>
    <col min="3" max="3" width="62.7109375" customWidth="1"/>
    <col min="5" max="5" width="52.7109375" customWidth="1"/>
    <col min="6" max="6" width="62.7109375" customWidth="1"/>
  </cols>
  <sheetData>
    <row r="1" spans="1:6">
      <c r="A1" s="279" t="s">
        <v>1433</v>
      </c>
    </row>
    <row r="2" spans="1:6">
      <c r="A2" t="s">
        <v>1434</v>
      </c>
    </row>
    <row r="4" spans="1:6">
      <c r="A4" s="279" t="s">
        <v>1435</v>
      </c>
      <c r="B4" s="279" t="s">
        <v>1436</v>
      </c>
      <c r="C4" s="279" t="s">
        <v>1437</v>
      </c>
      <c r="D4" s="279" t="s">
        <v>1438</v>
      </c>
      <c r="E4" s="279" t="s">
        <v>1439</v>
      </c>
      <c r="F4" s="279" t="s">
        <v>1440</v>
      </c>
    </row>
    <row r="5" spans="1:6">
      <c r="A5">
        <v>1</v>
      </c>
      <c r="B5" t="s">
        <v>70</v>
      </c>
      <c r="C5" t="s">
        <v>1187</v>
      </c>
      <c r="D5" t="s">
        <v>1441</v>
      </c>
      <c r="E5" t="s">
        <v>1442</v>
      </c>
      <c r="F5" t="s">
        <v>1443</v>
      </c>
    </row>
    <row r="6" spans="1:6">
      <c r="A6">
        <v>2</v>
      </c>
      <c r="B6" t="s">
        <v>53</v>
      </c>
      <c r="C6" t="s">
        <v>1182</v>
      </c>
      <c r="D6" t="s">
        <v>1441</v>
      </c>
      <c r="E6" t="s">
        <v>1442</v>
      </c>
      <c r="F6" t="s">
        <v>1444</v>
      </c>
    </row>
    <row r="7" spans="1:6">
      <c r="A7">
        <v>3</v>
      </c>
      <c r="B7" t="s">
        <v>101</v>
      </c>
      <c r="C7" t="s">
        <v>102</v>
      </c>
      <c r="D7" t="s">
        <v>1441</v>
      </c>
      <c r="E7" t="s">
        <v>1442</v>
      </c>
      <c r="F7" t="s">
        <v>1445</v>
      </c>
    </row>
    <row r="8" spans="1:6">
      <c r="A8">
        <v>4</v>
      </c>
      <c r="B8" t="s">
        <v>344</v>
      </c>
      <c r="C8" t="s">
        <v>345</v>
      </c>
      <c r="D8" t="s">
        <v>1446</v>
      </c>
      <c r="E8" t="s">
        <v>1447</v>
      </c>
      <c r="F8" t="s">
        <v>1448</v>
      </c>
    </row>
    <row r="9" spans="1:6">
      <c r="A9">
        <v>5</v>
      </c>
      <c r="B9" t="s">
        <v>540</v>
      </c>
      <c r="C9" t="s">
        <v>1234</v>
      </c>
      <c r="D9" t="s">
        <v>1446</v>
      </c>
      <c r="E9" t="s">
        <v>1447</v>
      </c>
      <c r="F9" t="s">
        <v>1449</v>
      </c>
    </row>
    <row r="10" spans="1:6">
      <c r="A10">
        <v>6</v>
      </c>
      <c r="B10" t="s">
        <v>441</v>
      </c>
      <c r="C10" t="s">
        <v>442</v>
      </c>
      <c r="D10" t="s">
        <v>1446</v>
      </c>
      <c r="E10" t="s">
        <v>1447</v>
      </c>
      <c r="F10" t="s">
        <v>1450</v>
      </c>
    </row>
    <row r="11" spans="1:6">
      <c r="A11">
        <v>7</v>
      </c>
      <c r="B11" t="s">
        <v>92</v>
      </c>
      <c r="C11" t="s">
        <v>93</v>
      </c>
      <c r="D11" t="s">
        <v>1446</v>
      </c>
      <c r="E11" t="s">
        <v>1447</v>
      </c>
      <c r="F11" t="s">
        <v>1451</v>
      </c>
    </row>
    <row r="12" spans="1:6">
      <c r="A12">
        <v>8</v>
      </c>
      <c r="B12" t="s">
        <v>218</v>
      </c>
      <c r="C12" t="s">
        <v>219</v>
      </c>
      <c r="D12" t="s">
        <v>1446</v>
      </c>
      <c r="E12" t="s">
        <v>1447</v>
      </c>
      <c r="F12" t="s">
        <v>1452</v>
      </c>
    </row>
    <row r="13" spans="1:6">
      <c r="A13">
        <v>9</v>
      </c>
      <c r="B13" t="s">
        <v>355</v>
      </c>
      <c r="C13" t="s">
        <v>356</v>
      </c>
      <c r="D13" t="s">
        <v>1446</v>
      </c>
      <c r="E13" t="s">
        <v>1447</v>
      </c>
      <c r="F13" t="s">
        <v>1453</v>
      </c>
    </row>
    <row r="14" spans="1:6">
      <c r="A14">
        <v>10</v>
      </c>
      <c r="B14" t="s">
        <v>1229</v>
      </c>
      <c r="C14" t="s">
        <v>479</v>
      </c>
      <c r="D14" t="s">
        <v>1454</v>
      </c>
      <c r="E14" t="s">
        <v>1455</v>
      </c>
      <c r="F14" t="s">
        <v>1456</v>
      </c>
    </row>
    <row r="15" spans="1:6">
      <c r="A15">
        <v>11</v>
      </c>
      <c r="B15" t="s">
        <v>81</v>
      </c>
      <c r="C15" t="s">
        <v>1190</v>
      </c>
      <c r="D15" t="s">
        <v>1454</v>
      </c>
      <c r="E15" t="s">
        <v>1455</v>
      </c>
      <c r="F15" t="s">
        <v>1457</v>
      </c>
    </row>
    <row r="16" spans="1:6">
      <c r="A16">
        <v>12</v>
      </c>
      <c r="B16" t="s">
        <v>258</v>
      </c>
      <c r="C16" t="s">
        <v>259</v>
      </c>
      <c r="D16" t="s">
        <v>1458</v>
      </c>
      <c r="E16" t="s">
        <v>1459</v>
      </c>
      <c r="F16" t="s">
        <v>1460</v>
      </c>
    </row>
    <row r="17" spans="1:6">
      <c r="A17">
        <v>13</v>
      </c>
      <c r="B17" t="inlineStr">
        <is>
          <t xml:space="preserve">Mobile Brain Body Imaging (MoBI) dataset</t>
        </is>
      </c>
      <c r="C17" t="inlineStr">
        <is>
          <t xml:space="preserve">EEG, Motion capture, VR headset</t>
        </is>
      </c>
      <c r="D17" t="s">
        <v>1458</v>
      </c>
      <c r="E17" t="s">
        <v>1459</v>
      </c>
      <c r="F17" t="s">
        <v>1461</v>
      </c>
    </row>
    <row r="18" spans="1:6">
      <c r="A18">
        <v>14</v>
      </c>
      <c r="B18" t="s">
        <v>1227</v>
      </c>
      <c r="C18" t="s">
        <v>1228</v>
      </c>
      <c r="D18" t="s">
        <v>1458</v>
      </c>
      <c r="E18" t="s">
        <v>1459</v>
      </c>
      <c r="F18" t="s">
        <v>1462</v>
      </c>
    </row>
    <row r="19" spans="1:6">
      <c r="A19">
        <v>15</v>
      </c>
      <c r="B19" t="s">
        <v>1260</v>
      </c>
      <c r="C19" t="s">
        <v>1261</v>
      </c>
      <c r="D19" t="s">
        <v>1463</v>
      </c>
      <c r="E19" t="s">
        <v>1464</v>
      </c>
      <c r="F19" t="s">
        <v>1465</v>
      </c>
    </row>
    <row r="20" spans="1:6">
      <c r="A20">
        <v>16</v>
      </c>
      <c r="B20" t="s">
        <v>1200</v>
      </c>
      <c r="C20" t="s">
        <v>1201</v>
      </c>
      <c r="D20" t="s">
        <v>1463</v>
      </c>
      <c r="E20" t="s">
        <v>1464</v>
      </c>
      <c r="F20" t="s">
        <v>1466</v>
      </c>
    </row>
    <row r="21" spans="1:6">
      <c r="A21">
        <v>17</v>
      </c>
      <c r="B21" t="s">
        <v>1217</v>
      </c>
      <c r="C21" t="s">
        <v>1218</v>
      </c>
      <c r="D21" t="s">
        <v>1463</v>
      </c>
      <c r="E21" t="s">
        <v>1464</v>
      </c>
      <c r="F21" t="s">
        <v>1467</v>
      </c>
    </row>
    <row r="22" spans="1:6">
      <c r="A22">
        <v>18</v>
      </c>
      <c r="B22" t="s">
        <v>1230</v>
      </c>
      <c r="C22" t="s">
        <v>1231</v>
      </c>
      <c r="D22" t="s">
        <v>1463</v>
      </c>
      <c r="E22" t="s">
        <v>1464</v>
      </c>
      <c r="F22" t="s">
        <v>1468</v>
      </c>
    </row>
    <row r="23" spans="1:6">
      <c r="A23">
        <v>19</v>
      </c>
      <c r="B23" t="s">
        <v>503</v>
      </c>
      <c r="C23" t="s">
        <v>504</v>
      </c>
      <c r="D23" t="s">
        <v>1463</v>
      </c>
      <c r="E23" t="s">
        <v>1464</v>
      </c>
      <c r="F23" t="s">
        <v>1469</v>
      </c>
    </row>
    <row r="24" spans="1:6">
      <c r="A24">
        <v>20</v>
      </c>
      <c r="B24" t="s">
        <v>1202</v>
      </c>
      <c r="C24" t="s">
        <v>188</v>
      </c>
      <c r="D24" t="s">
        <v>1463</v>
      </c>
      <c r="E24" t="s">
        <v>1464</v>
      </c>
      <c r="F24" t="s">
        <v>1470</v>
      </c>
    </row>
    <row r="26" spans="1:6">
      <c r="B26" s="279" t="s">
        <v>1313</v>
      </c>
      <c r="C26" s="279"/>
      <c r="D26" s="279">
        <f>COUNTA(D5:D24)</f>
        <v>20</v>
      </c>
    </row>
    <row r="28" spans="1:6">
      <c r="B28" s="279" t="s">
        <v>1471</v>
      </c>
    </row>
    <row r="29" spans="1:6">
      <c r="B29" t="s">
        <v>1472</v>
      </c>
      <c r="D29">
        <f>COUNTIF(D5:D24,"A")</f>
        <v>3</v>
      </c>
    </row>
    <row r="30" spans="1:6">
      <c r="B30" t="s">
        <v>1473</v>
      </c>
      <c r="D30">
        <f>COUNTIF(D5:D24,"B")</f>
        <v>6</v>
      </c>
    </row>
    <row r="31" spans="1:6">
      <c r="B31" t="s">
        <v>1474</v>
      </c>
      <c r="D31">
        <f>COUNTIF(D5:D24,"C")</f>
        <v>2</v>
      </c>
    </row>
    <row r="32" spans="1:6">
      <c r="B32" t="s">
        <v>1475</v>
      </c>
      <c r="D32">
        <f>COUNTIF(D5:D24,"D")</f>
        <v>3</v>
      </c>
    </row>
    <row r="33" spans="2:4">
      <c r="B33" t="s">
        <v>1476</v>
      </c>
      <c r="D33">
        <f>COUNTIF(D5:D24,"E")</f>
        <v>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55B54-BACA-4979-A8FA-932F98C2FF1A}">
  <dimension ref="A1:D10"/>
  <sheetViews>
    <sheetView workbookViewId="0"/>
  </sheetViews>
  <sheetFormatPr defaultRowHeight="15"/>
  <cols>
    <col min="1" max="1" width="30.7109375" customWidth="1"/>
  </cols>
  <sheetData>
    <row r="1" spans="1:4">
      <c r="A1" s="279" t="s">
        <v>1510</v>
      </c>
    </row>
    <row r="3" spans="1:4">
      <c r="A3" s="279" t="s">
        <v>1511</v>
      </c>
      <c r="B3" s="279" t="s">
        <v>1512</v>
      </c>
      <c r="C3" s="279" t="s">
        <v>1513</v>
      </c>
      <c r="D3" s="279" t="s">
        <v>1514</v>
      </c>
    </row>
    <row r="4" spans="1:4">
      <c r="A4" t="s">
        <v>1515</v>
      </c>
      <c r="B4">
        <v>1</v>
      </c>
      <c r="C4">
        <v>30</v>
      </c>
      <c r="D4">
        <v>50</v>
      </c>
    </row>
    <row r="5" spans="1:4">
      <c r="A5" t="s">
        <v>1516</v>
      </c>
      <c r="B5">
        <v>7</v>
      </c>
      <c r="C5">
        <v>35</v>
      </c>
      <c r="D5">
        <v>39</v>
      </c>
    </row>
    <row r="6" spans="1:4">
      <c r="A6" t="s">
        <v>1517</v>
      </c>
      <c r="B6">
        <v>1</v>
      </c>
      <c r="C6">
        <v>40</v>
      </c>
      <c r="D6">
        <v>40</v>
      </c>
    </row>
    <row r="7" spans="1:4">
      <c r="A7" t="s">
        <v>1518</v>
      </c>
      <c r="B7">
        <v>33</v>
      </c>
      <c r="C7">
        <v>5</v>
      </c>
      <c r="D7">
        <v>43</v>
      </c>
    </row>
    <row r="8" spans="1:4">
      <c r="A8" t="s">
        <v>1519</v>
      </c>
      <c r="B8">
        <v>0</v>
      </c>
      <c r="C8">
        <v>46</v>
      </c>
      <c r="D8">
        <v>35</v>
      </c>
    </row>
    <row r="10" spans="1:4">
      <c r="A10" t="s">
        <v>1520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1D72C-303A-4406-BE20-BB5794684F16}">
  <dimension ref="A1:F22"/>
  <sheetViews>
    <sheetView tabSelected="1" workbookViewId="0"/>
  </sheetViews>
  <sheetFormatPr defaultRowHeight="15"/>
  <cols>
    <col min="1" max="1" width="30.7109375" customWidth="1"/>
  </cols>
  <sheetData>
    <row r="1" spans="1:6">
      <c r="A1" s="279" t="s">
        <v>1521</v>
      </c>
    </row>
    <row r="3" spans="1:6">
      <c r="A3" s="279" t="s">
        <v>1522</v>
      </c>
    </row>
    <row r="4" spans="1:6">
      <c r="A4" t="s">
        <v>972</v>
      </c>
      <c r="B4" t="s">
        <v>1281</v>
      </c>
      <c r="C4" t="s">
        <v>1523</v>
      </c>
      <c r="D4" t="s">
        <v>1294</v>
      </c>
      <c r="E4" t="s">
        <v>1524</v>
      </c>
      <c r="F4" t="s">
        <v>1283</v>
      </c>
    </row>
    <row r="5" spans="1:6">
      <c r="A5" t="s">
        <v>975</v>
      </c>
      <c r="B5">
        <v>30</v>
      </c>
      <c r="C5">
        <v>3</v>
      </c>
      <c r="D5">
        <v>3</v>
      </c>
      <c r="E5">
        <v>3</v>
      </c>
      <c r="F5">
        <v>3</v>
      </c>
    </row>
    <row r="6" spans="1:6">
      <c r="A6" t="s">
        <v>1292</v>
      </c>
      <c r="B6">
        <v>12</v>
      </c>
      <c r="C6">
        <v>1</v>
      </c>
      <c r="D6">
        <v>2</v>
      </c>
      <c r="E6">
        <v>1</v>
      </c>
      <c r="F6">
        <v>0</v>
      </c>
    </row>
    <row r="7" spans="1:6">
      <c r="A7" t="s">
        <v>1299</v>
      </c>
      <c r="B7">
        <v>3</v>
      </c>
      <c r="C7">
        <v>0</v>
      </c>
      <c r="D7">
        <v>1</v>
      </c>
      <c r="E7">
        <v>2</v>
      </c>
      <c r="F7">
        <v>0</v>
      </c>
    </row>
    <row r="8" spans="1:6">
      <c r="A8" t="s">
        <v>1302</v>
      </c>
      <c r="B8">
        <v>4</v>
      </c>
      <c r="C8">
        <v>0</v>
      </c>
      <c r="D8">
        <v>0</v>
      </c>
      <c r="E8">
        <v>1</v>
      </c>
      <c r="F8">
        <v>0</v>
      </c>
    </row>
    <row r="9" spans="1:6">
      <c r="A9" t="s">
        <v>1296</v>
      </c>
      <c r="B9">
        <v>5</v>
      </c>
      <c r="C9">
        <v>0</v>
      </c>
      <c r="D9">
        <v>0</v>
      </c>
      <c r="E9">
        <v>0</v>
      </c>
      <c r="F9">
        <v>0</v>
      </c>
    </row>
    <row r="10" spans="1:6">
      <c r="A10" t="s">
        <v>1284</v>
      </c>
      <c r="B10">
        <v>3</v>
      </c>
      <c r="C10">
        <v>0</v>
      </c>
      <c r="D10">
        <v>0</v>
      </c>
      <c r="E10">
        <v>0</v>
      </c>
      <c r="F10">
        <v>1</v>
      </c>
    </row>
    <row r="11" spans="1:6">
      <c r="A11" t="s">
        <v>1308</v>
      </c>
      <c r="B11">
        <v>3</v>
      </c>
      <c r="C11">
        <v>0</v>
      </c>
      <c r="D11">
        <v>0</v>
      </c>
      <c r="E11">
        <v>0</v>
      </c>
      <c r="F11">
        <v>0</v>
      </c>
    </row>
    <row r="14" spans="1:6">
      <c r="A14" s="279" t="s">
        <v>1525</v>
      </c>
    </row>
    <row r="15" spans="1:6">
      <c r="A15" t="s">
        <v>972</v>
      </c>
      <c r="B15" t="s">
        <v>1281</v>
      </c>
      <c r="C15" t="s">
        <v>1523</v>
      </c>
      <c r="D15" t="s">
        <v>1294</v>
      </c>
      <c r="E15" t="s">
        <v>1524</v>
      </c>
      <c r="F15" t="s">
        <v>1283</v>
      </c>
    </row>
    <row r="16" spans="1:6">
      <c r="A16" t="s">
        <v>1193</v>
      </c>
      <c r="B16">
        <v>15</v>
      </c>
      <c r="C16">
        <v>0</v>
      </c>
      <c r="D16">
        <v>4</v>
      </c>
      <c r="E16">
        <v>3</v>
      </c>
      <c r="F16">
        <v>0</v>
      </c>
    </row>
    <row r="17" spans="1:6">
      <c r="A17" t="s">
        <v>1174</v>
      </c>
      <c r="B17">
        <v>17</v>
      </c>
      <c r="C17">
        <v>0</v>
      </c>
      <c r="D17">
        <v>1</v>
      </c>
      <c r="E17">
        <v>0</v>
      </c>
      <c r="F17">
        <v>2</v>
      </c>
    </row>
    <row r="18" spans="1:6">
      <c r="A18" t="s">
        <v>1180</v>
      </c>
      <c r="B18">
        <v>9</v>
      </c>
      <c r="C18">
        <v>1</v>
      </c>
      <c r="D18">
        <v>1</v>
      </c>
      <c r="E18">
        <v>2</v>
      </c>
      <c r="F18">
        <v>0</v>
      </c>
    </row>
    <row r="19" spans="1:6">
      <c r="A19" t="s">
        <v>1183</v>
      </c>
      <c r="B19">
        <v>5</v>
      </c>
      <c r="C19">
        <v>3</v>
      </c>
      <c r="D19">
        <v>0</v>
      </c>
      <c r="E19">
        <v>2</v>
      </c>
      <c r="F19">
        <v>0</v>
      </c>
    </row>
    <row r="20" spans="1:6">
      <c r="A20" t="s">
        <v>1178</v>
      </c>
      <c r="B20">
        <v>7</v>
      </c>
      <c r="C20">
        <v>0</v>
      </c>
      <c r="D20">
        <v>0</v>
      </c>
      <c r="E20">
        <v>0</v>
      </c>
      <c r="F20">
        <v>2</v>
      </c>
    </row>
    <row r="21" spans="1:6">
      <c r="A21" t="s">
        <v>1199</v>
      </c>
      <c r="B21">
        <v>5</v>
      </c>
      <c r="C21">
        <v>0</v>
      </c>
      <c r="D21">
        <v>0</v>
      </c>
      <c r="E21">
        <v>0</v>
      </c>
      <c r="F21">
        <v>0</v>
      </c>
    </row>
    <row r="22" spans="1:6">
      <c r="A22" t="s">
        <v>1177</v>
      </c>
      <c r="B22">
        <v>2</v>
      </c>
      <c r="C22">
        <v>0</v>
      </c>
      <c r="D22">
        <v>0</v>
      </c>
      <c r="E22">
        <v>0</v>
      </c>
      <c r="F22">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Final Included all datasets</vt:lpstr>
      <vt:lpstr>Summary</vt:lpstr>
      <vt:lpstr>Results after removing duplicat</vt:lpstr>
      <vt:lpstr>Categorization by Activity</vt:lpstr>
      <vt:lpstr>Quality Assessment Score</vt:lpstr>
      <vt:lpstr>Sensing Modality Categories</vt:lpstr>
      <vt:lpstr>Participant Demographics</vt:lpstr>
      <vt:lpstr>Pass 3 Corrected Summary</vt:lpstr>
      <vt:lpstr>Task Coding (review)</vt:lpstr>
      <vt:lpstr>Table S2 - Other Combinations</vt:lpstr>
      <vt:lpstr>Figure 4 - QAS profile</vt:lpstr>
      <vt:lpstr>Figure 5 - cross-domain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Yasir Mehmood</cp:lastModifiedBy>
  <dcterms:created xsi:type="dcterms:W3CDTF">2026-05-14T18:39:41Z</dcterms:created>
  <dcterms:modified xsi:type="dcterms:W3CDTF">2026-09-14T17:42:07Z</dcterms:modified>
</cp:coreProperties>
</file>